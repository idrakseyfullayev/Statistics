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Handex Excel\Statistics\Season_2\Telim_9\"/>
    </mc:Choice>
  </mc:AlternateContent>
  <xr:revisionPtr revIDLastSave="0" documentId="13_ncr:1_{09E707B1-726F-4C17-9695-A5066C9F5FE4}" xr6:coauthVersionLast="45" xr6:coauthVersionMax="45" xr10:uidLastSave="{00000000-0000-0000-0000-000000000000}"/>
  <bookViews>
    <workbookView xWindow="-120" yWindow="-120" windowWidth="20730" windowHeight="11160" activeTab="4" xr2:uid="{E91C6DFB-9527-47D8-A68D-83274A7D52BE}"/>
  </bookViews>
  <sheets>
    <sheet name="Z_Score" sheetId="1" r:id="rId1"/>
    <sheet name="Central_Limit_Theorem" sheetId="2" r:id="rId2"/>
    <sheet name="Ev Endirim Task" sheetId="3" r:id="rId3"/>
    <sheet name="Confidence Interval" sheetId="4" r:id="rId4"/>
    <sheet name="Sample Size" sheetId="5" r:id="rId5"/>
  </sheets>
  <definedNames>
    <definedName name="_xlchart.v1.0" hidden="1">Central_Limit_Theorem!$B$4</definedName>
    <definedName name="_xlchart.v1.1" hidden="1">Central_Limit_Theorem!$B$5:$B$9</definedName>
    <definedName name="_xlchart.v1.2" hidden="1">Central_Limit_Theorem!$G$3</definedName>
    <definedName name="_xlchart.v1.3" hidden="1">Central_Limit_Theorem!$G$4:$G$56</definedName>
    <definedName name="_xlchart.v1.4" hidden="1">Central_Limit_Theorem!$G$2</definedName>
    <definedName name="_xlchart.v1.5" hidden="1">Central_Limit_Theorem!$G$3:$G$55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9" i="4" l="1"/>
  <c r="L18" i="4"/>
  <c r="L8" i="4"/>
  <c r="L7" i="4"/>
  <c r="H8" i="5"/>
  <c r="L15" i="4"/>
  <c r="L14" i="4"/>
  <c r="L4" i="4"/>
  <c r="L3" i="4"/>
  <c r="H3" i="3"/>
  <c r="G15" i="3"/>
  <c r="H15" i="3"/>
  <c r="H4" i="3"/>
  <c r="H5" i="3"/>
  <c r="H6" i="3"/>
  <c r="H7" i="3"/>
  <c r="H8" i="3"/>
  <c r="H9" i="3"/>
  <c r="H10" i="3"/>
  <c r="H11" i="3"/>
  <c r="H12" i="3"/>
  <c r="H13" i="3"/>
  <c r="H14" i="3"/>
  <c r="F4" i="3"/>
  <c r="F5" i="3"/>
  <c r="F6" i="3"/>
  <c r="F7" i="3"/>
  <c r="F8" i="3"/>
  <c r="F9" i="3"/>
  <c r="F10" i="3"/>
  <c r="F11" i="3"/>
  <c r="F12" i="3"/>
  <c r="F13" i="3"/>
  <c r="F14" i="3"/>
  <c r="F3" i="3"/>
  <c r="G57" i="2"/>
  <c r="G69" i="2"/>
  <c r="G84" i="2"/>
  <c r="G92" i="2"/>
  <c r="G124" i="2"/>
  <c r="G140" i="2"/>
  <c r="G131" i="2" l="1"/>
  <c r="G123" i="2"/>
  <c r="G115" i="2"/>
  <c r="G200" i="2"/>
  <c r="G184" i="2"/>
  <c r="G182" i="2"/>
  <c r="G176" i="2"/>
  <c r="G174" i="2"/>
  <c r="G168" i="2"/>
  <c r="G107" i="2"/>
  <c r="G99" i="2"/>
  <c r="G91" i="2"/>
  <c r="G83" i="2"/>
  <c r="G152" i="2"/>
  <c r="G88" i="2"/>
  <c r="G75" i="2"/>
  <c r="G181" i="2"/>
  <c r="G173" i="2"/>
  <c r="G85" i="2"/>
  <c r="G188" i="2"/>
  <c r="G164" i="2"/>
  <c r="G156" i="2"/>
  <c r="G149" i="2"/>
  <c r="G141" i="2"/>
  <c r="G101" i="2"/>
  <c r="G93" i="2"/>
  <c r="G89" i="2"/>
  <c r="G72" i="2"/>
  <c r="G68" i="2"/>
  <c r="G67" i="2"/>
  <c r="G195" i="2"/>
  <c r="G187" i="2"/>
  <c r="G163" i="2"/>
  <c r="G155" i="2"/>
  <c r="G150" i="2"/>
  <c r="G144" i="2"/>
  <c r="G142" i="2"/>
  <c r="G136" i="2"/>
  <c r="G120" i="2"/>
  <c r="G118" i="2"/>
  <c r="G116" i="2"/>
  <c r="G112" i="2"/>
  <c r="G110" i="2"/>
  <c r="G104" i="2"/>
  <c r="G197" i="2"/>
  <c r="G189" i="2"/>
  <c r="G179" i="2"/>
  <c r="G171" i="2"/>
  <c r="G166" i="2"/>
  <c r="G160" i="2"/>
  <c r="G158" i="2"/>
  <c r="G148" i="2"/>
  <c r="G133" i="2"/>
  <c r="G125" i="2"/>
  <c r="G102" i="2"/>
  <c r="G100" i="2"/>
  <c r="G96" i="2"/>
  <c r="G94" i="2"/>
  <c r="G77" i="2"/>
  <c r="G73" i="2"/>
  <c r="G64" i="2"/>
  <c r="G62" i="2"/>
  <c r="G60" i="2"/>
  <c r="G117" i="2"/>
  <c r="G109" i="2"/>
  <c r="G105" i="2"/>
  <c r="G63" i="2"/>
  <c r="G203" i="2"/>
  <c r="G198" i="2"/>
  <c r="G196" i="2"/>
  <c r="G192" i="2"/>
  <c r="G190" i="2"/>
  <c r="G180" i="2"/>
  <c r="G172" i="2"/>
  <c r="G165" i="2"/>
  <c r="G157" i="2"/>
  <c r="G147" i="2"/>
  <c r="G139" i="2"/>
  <c r="G134" i="2"/>
  <c r="G132" i="2"/>
  <c r="G128" i="2"/>
  <c r="G126" i="2"/>
  <c r="G108" i="2"/>
  <c r="G80" i="2"/>
  <c r="G78" i="2"/>
  <c r="G76" i="2"/>
  <c r="G202" i="2"/>
  <c r="G193" i="2"/>
  <c r="G191" i="2"/>
  <c r="G186" i="2"/>
  <c r="G177" i="2"/>
  <c r="G175" i="2"/>
  <c r="G170" i="2"/>
  <c r="G161" i="2"/>
  <c r="G159" i="2"/>
  <c r="G154" i="2"/>
  <c r="G145" i="2"/>
  <c r="G143" i="2"/>
  <c r="G138" i="2"/>
  <c r="G129" i="2"/>
  <c r="G127" i="2"/>
  <c r="G122" i="2"/>
  <c r="G113" i="2"/>
  <c r="G111" i="2"/>
  <c r="G106" i="2"/>
  <c r="G97" i="2"/>
  <c r="G95" i="2"/>
  <c r="G90" i="2"/>
  <c r="G81" i="2"/>
  <c r="G79" i="2"/>
  <c r="G74" i="2"/>
  <c r="G65" i="2"/>
  <c r="G58" i="2"/>
  <c r="G86" i="2"/>
  <c r="G70" i="2"/>
  <c r="G61" i="2"/>
  <c r="G59" i="2"/>
  <c r="G42" i="2"/>
  <c r="G38" i="2"/>
  <c r="G201" i="2"/>
  <c r="G199" i="2"/>
  <c r="G194" i="2"/>
  <c r="G185" i="2"/>
  <c r="G183" i="2"/>
  <c r="G178" i="2"/>
  <c r="G169" i="2"/>
  <c r="G167" i="2"/>
  <c r="G162" i="2"/>
  <c r="G153" i="2"/>
  <c r="G151" i="2"/>
  <c r="G146" i="2"/>
  <c r="G137" i="2"/>
  <c r="G135" i="2"/>
  <c r="G130" i="2"/>
  <c r="G121" i="2"/>
  <c r="G119" i="2"/>
  <c r="G114" i="2"/>
  <c r="G103" i="2"/>
  <c r="G98" i="2"/>
  <c r="G87" i="2"/>
  <c r="G82" i="2"/>
  <c r="G71" i="2"/>
  <c r="G66" i="2"/>
  <c r="G56" i="2"/>
  <c r="G54" i="2"/>
  <c r="G20" i="2"/>
  <c r="G47" i="2"/>
  <c r="G19" i="2"/>
  <c r="G55" i="2"/>
  <c r="G30" i="2"/>
  <c r="G48" i="2"/>
  <c r="G35" i="2"/>
  <c r="G31" i="2"/>
  <c r="G26" i="2"/>
  <c r="G32" i="2"/>
  <c r="G51" i="2"/>
  <c r="G49" i="2"/>
  <c r="G46" i="2"/>
  <c r="G44" i="2"/>
  <c r="G36" i="2"/>
  <c r="G27" i="2"/>
  <c r="G25" i="2"/>
  <c r="G23" i="2"/>
  <c r="G52" i="2"/>
  <c r="G43" i="2"/>
  <c r="G41" i="2"/>
  <c r="G39" i="2"/>
  <c r="G37" i="2"/>
  <c r="G28" i="2"/>
  <c r="G21" i="2"/>
  <c r="G53" i="2"/>
  <c r="G50" i="2"/>
  <c r="G45" i="2"/>
  <c r="G40" i="2"/>
  <c r="G33" i="2"/>
  <c r="G24" i="2"/>
  <c r="G22" i="2"/>
  <c r="G34" i="2"/>
  <c r="G29" i="2"/>
  <c r="G17" i="2"/>
  <c r="G15" i="2"/>
  <c r="G9" i="2"/>
  <c r="G7" i="2"/>
  <c r="G5" i="2"/>
  <c r="G13" i="2"/>
  <c r="G11" i="2"/>
  <c r="G16" i="2"/>
  <c r="G12" i="2"/>
  <c r="G8" i="2"/>
  <c r="G18" i="2"/>
  <c r="G14" i="2"/>
  <c r="G10" i="2"/>
  <c r="G6" i="2"/>
  <c r="G4" i="2"/>
  <c r="Q21" i="1"/>
  <c r="Q19" i="1"/>
  <c r="K21" i="1"/>
  <c r="M17" i="1"/>
  <c r="K18" i="1"/>
  <c r="K16" i="1"/>
  <c r="S5" i="1"/>
  <c r="S9" i="1"/>
  <c r="S2" i="1"/>
  <c r="F13" i="1"/>
</calcChain>
</file>

<file path=xl/sharedStrings.xml><?xml version="1.0" encoding="utf-8"?>
<sst xmlns="http://schemas.openxmlformats.org/spreadsheetml/2006/main" count="220" uniqueCount="213">
  <si>
    <t>z score</t>
  </si>
  <si>
    <t>X dəyəri</t>
  </si>
  <si>
    <t>Ehtimal</t>
  </si>
  <si>
    <t>Population Data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</si>
  <si>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</si>
  <si>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</si>
  <si>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</si>
  <si>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</si>
  <si>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</si>
  <si>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</si>
  <si>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</si>
  <si>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</si>
  <si>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</si>
  <si>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</si>
  <si>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</si>
  <si>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</si>
  <si>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</si>
  <si>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</si>
  <si>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</si>
  <si>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</si>
  <si>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Mean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</si>
  <si>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</si>
  <si>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</si>
  <si>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</si>
  <si>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</si>
  <si>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</si>
  <si>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</si>
  <si>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</si>
  <si>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</si>
  <si>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</si>
  <si>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</si>
  <si>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</si>
  <si>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</si>
  <si>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</si>
  <si>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</si>
  <si>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</si>
  <si>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</si>
  <si>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</si>
  <si>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</si>
  <si>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</si>
  <si>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</si>
  <si>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</si>
  <si>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</si>
  <si>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</si>
  <si>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</si>
  <si>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</si>
  <si>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</si>
  <si>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</si>
  <si>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</si>
  <si>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</si>
  <si>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</si>
  <si>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</si>
  <si>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</si>
  <si>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</si>
  <si>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</si>
  <si>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</si>
  <si>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</si>
  <si>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</si>
  <si>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</si>
  <si>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</si>
  <si>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</si>
  <si>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</si>
  <si>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</si>
  <si>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</si>
  <si>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</si>
  <si>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</si>
  <si>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</si>
  <si>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</si>
  <si>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</si>
  <si>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</si>
  <si>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</si>
  <si>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</si>
  <si>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</si>
  <si>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</si>
  <si>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</si>
  <si>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</si>
  <si>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</si>
  <si>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</si>
  <si>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</si>
  <si>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</si>
  <si>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</si>
  <si>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</si>
  <si>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</si>
  <si>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</si>
  <si>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</si>
  <si>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</si>
  <si>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</si>
  <si>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</si>
  <si>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</si>
  <si>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</si>
  <si>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</si>
  <si>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</si>
  <si>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</si>
  <si>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</si>
  <si>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</si>
  <si>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</si>
  <si>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</si>
  <si>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</si>
  <si>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</si>
  <si>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</si>
  <si>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</si>
  <si>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</si>
  <si>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</si>
  <si>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</si>
  <si>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</si>
  <si>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</si>
  <si>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</si>
  <si>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</si>
  <si>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</si>
  <si>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</si>
  <si>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</si>
  <si>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</si>
  <si>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</si>
  <si>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</si>
  <si>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</si>
  <si>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</si>
  <si>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</si>
  <si>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</si>
  <si>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</si>
  <si>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</si>
  <si>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</si>
  <si>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</si>
  <si>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</si>
  <si>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</si>
  <si>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</si>
  <si>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</si>
  <si>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</si>
  <si>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</si>
  <si>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</si>
  <si>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</si>
  <si>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</si>
  <si>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</si>
  <si>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</si>
  <si>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</si>
  <si>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</si>
  <si>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</si>
  <si>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</si>
  <si>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</si>
  <si>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</si>
  <si>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</si>
  <si>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</si>
  <si>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</si>
  <si>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</si>
  <si>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</si>
  <si>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</si>
  <si>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</si>
  <si>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</si>
  <si>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</si>
  <si>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</si>
  <si>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</si>
  <si>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</si>
  <si>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</si>
  <si>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</si>
  <si>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</si>
  <si>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</si>
  <si>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</si>
  <si>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</si>
  <si>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</si>
  <si>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</si>
  <si>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</si>
  <si>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</si>
  <si>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</si>
  <si>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</si>
  <si>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</si>
  <si>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</si>
  <si>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</si>
  <si>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</si>
  <si>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</si>
  <si>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</si>
  <si>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</si>
  <si>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</si>
  <si>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</si>
  <si>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</si>
  <si>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</si>
  <si>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</si>
  <si>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</si>
  <si>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</si>
  <si>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</si>
  <si>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</si>
  <si>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</si>
  <si>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</si>
  <si>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</si>
  <si>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</si>
  <si>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</si>
  <si>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</si>
  <si>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</si>
  <si>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</si>
  <si>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</si>
  <si>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</si>
  <si>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</si>
  <si>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</si>
  <si>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</si>
  <si>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</si>
  <si>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</si>
  <si>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</si>
  <si>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</si>
  <si>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</si>
  <si>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</si>
  <si>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</si>
  <si>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</si>
  <si>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</si>
  <si>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</si>
  <si>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</si>
  <si>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</si>
  <si>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</si>
  <si>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Sampling Data</t>
  </si>
  <si>
    <t>N</t>
  </si>
  <si>
    <t>Ev sayı</t>
  </si>
  <si>
    <t>Qiymət artımı</t>
  </si>
  <si>
    <t>Frequency</t>
  </si>
  <si>
    <t>Weigthted Mean</t>
  </si>
  <si>
    <t>Düzgün variant</t>
  </si>
  <si>
    <t>Sample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</si>
</sst>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0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Population Data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Population Data</a:t>
          </a:r>
        </a:p>
      </cx:txPr>
    </cx:title>
    <cx:plotArea>
      <cx:plotAreaRegion>
        <cx:series layoutId="clusteredColumn" uniqueId="{F5F116E0-1116-4240-A695-92F448E296F8}">
          <cx:tx>
            <cx:txData>
              <cx:f>_xlchart.v1.0</cx:f>
              <cx:v>Population Data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.910000026"/>
        <cx:tickLabels/>
      </cx:axis>
      <cx:axis id="1">
        <cx:valScaling/>
        <cx:majorGridlines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Sampling Data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Sampling Data</a:t>
          </a:r>
        </a:p>
      </cx:txPr>
    </cx:title>
    <cx:plotArea>
      <cx:plotAreaRegion>
        <cx:series layoutId="clusteredColumn" uniqueId="{E8BAD380-70A1-4F37-B04D-2C5826101F02}">
          <cx:tx>
            <cx:txData>
              <cx:f>_xlchart.v1.2</cx:f>
              <cx:v>Mean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1</xdr:row>
      <xdr:rowOff>0</xdr:rowOff>
    </xdr:from>
    <xdr:to>
      <xdr:col>8</xdr:col>
      <xdr:colOff>292446</xdr:colOff>
      <xdr:row>11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E8675-BC89-4EC3-8C2A-5935A5DAD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90500"/>
          <a:ext cx="4569171" cy="1943100"/>
        </a:xfrm>
        <a:prstGeom prst="rect">
          <a:avLst/>
        </a:prstGeom>
      </xdr:spPr>
    </xdr:pic>
    <xdr:clientData/>
  </xdr:twoCellAnchor>
  <xdr:twoCellAnchor>
    <xdr:from>
      <xdr:col>2</xdr:col>
      <xdr:colOff>152399</xdr:colOff>
      <xdr:row>11</xdr:row>
      <xdr:rowOff>180975</xdr:rowOff>
    </xdr:from>
    <xdr:to>
      <xdr:col>4</xdr:col>
      <xdr:colOff>571500</xdr:colOff>
      <xdr:row>13</xdr:row>
      <xdr:rowOff>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81E22CB9-407D-4C54-A071-61BE3A7D6AD6}"/>
            </a:ext>
          </a:extLst>
        </xdr:cNvPr>
        <xdr:cNvSpPr txBox="1">
          <a:spLocks noChangeArrowheads="1"/>
        </xdr:cNvSpPr>
      </xdr:nvSpPr>
      <xdr:spPr bwMode="auto">
        <a:xfrm>
          <a:off x="1371599" y="2276475"/>
          <a:ext cx="1638301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=NORM.DIST(18.6, 18, 5, 1) 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 editAs="oneCell">
    <xdr:from>
      <xdr:col>8</xdr:col>
      <xdr:colOff>466724</xdr:colOff>
      <xdr:row>1</xdr:row>
      <xdr:rowOff>0</xdr:rowOff>
    </xdr:from>
    <xdr:to>
      <xdr:col>15</xdr:col>
      <xdr:colOff>556965</xdr:colOff>
      <xdr:row>11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D7C954-98FB-4252-97B2-55FC872F4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3524" y="190500"/>
          <a:ext cx="4357441" cy="1962150"/>
        </a:xfrm>
        <a:prstGeom prst="rect">
          <a:avLst/>
        </a:prstGeom>
      </xdr:spPr>
    </xdr:pic>
    <xdr:clientData/>
  </xdr:twoCellAnchor>
  <xdr:twoCellAnchor>
    <xdr:from>
      <xdr:col>16</xdr:col>
      <xdr:colOff>133350</xdr:colOff>
      <xdr:row>1</xdr:row>
      <xdr:rowOff>28574</xdr:rowOff>
    </xdr:from>
    <xdr:to>
      <xdr:col>17</xdr:col>
      <xdr:colOff>647700</xdr:colOff>
      <xdr:row>2</xdr:row>
      <xdr:rowOff>76199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6B3D3579-E7C1-4D87-B618-582DC1DD3D20}"/>
            </a:ext>
          </a:extLst>
        </xdr:cNvPr>
        <xdr:cNvSpPr txBox="1">
          <a:spLocks noChangeArrowheads="1"/>
        </xdr:cNvSpPr>
      </xdr:nvSpPr>
      <xdr:spPr bwMode="auto">
        <a:xfrm>
          <a:off x="9886950" y="219074"/>
          <a:ext cx="1123950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=NORM.S.INV(0.2)</a:t>
          </a:r>
        </a:p>
      </xdr:txBody>
    </xdr:sp>
    <xdr:clientData/>
  </xdr:twoCellAnchor>
  <xdr:twoCellAnchor>
    <xdr:from>
      <xdr:col>15</xdr:col>
      <xdr:colOff>561974</xdr:colOff>
      <xdr:row>8</xdr:row>
      <xdr:rowOff>38100</xdr:rowOff>
    </xdr:from>
    <xdr:to>
      <xdr:col>17</xdr:col>
      <xdr:colOff>761999</xdr:colOff>
      <xdr:row>9</xdr:row>
      <xdr:rowOff>66675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4F5AAC98-05FA-4C4F-AEEA-C85D23D28AB7}"/>
            </a:ext>
          </a:extLst>
        </xdr:cNvPr>
        <xdr:cNvSpPr txBox="1">
          <a:spLocks noChangeArrowheads="1"/>
        </xdr:cNvSpPr>
      </xdr:nvSpPr>
      <xdr:spPr bwMode="auto">
        <a:xfrm>
          <a:off x="9705974" y="1562100"/>
          <a:ext cx="1419225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=NORM.INV(0.2, 18, 5)</a:t>
          </a:r>
        </a:p>
      </xdr:txBody>
    </xdr:sp>
    <xdr:clientData/>
  </xdr:twoCellAnchor>
  <xdr:twoCellAnchor>
    <xdr:from>
      <xdr:col>16</xdr:col>
      <xdr:colOff>57150</xdr:colOff>
      <xdr:row>4</xdr:row>
      <xdr:rowOff>28576</xdr:rowOff>
    </xdr:from>
    <xdr:to>
      <xdr:col>17</xdr:col>
      <xdr:colOff>723900</xdr:colOff>
      <xdr:row>5</xdr:row>
      <xdr:rowOff>76200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A1330037-7DC3-4437-87E6-8BDD4FB2E79C}"/>
            </a:ext>
          </a:extLst>
        </xdr:cNvPr>
        <xdr:cNvSpPr txBox="1">
          <a:spLocks noChangeArrowheads="1"/>
        </xdr:cNvSpPr>
      </xdr:nvSpPr>
      <xdr:spPr bwMode="auto">
        <a:xfrm>
          <a:off x="9810750" y="790576"/>
          <a:ext cx="1276350" cy="2381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=18 + (-0.84162) * 5</a:t>
          </a:r>
        </a:p>
      </xdr:txBody>
    </xdr:sp>
    <xdr:clientData/>
  </xdr:twoCellAnchor>
  <xdr:twoCellAnchor editAs="oneCell">
    <xdr:from>
      <xdr:col>0</xdr:col>
      <xdr:colOff>504827</xdr:colOff>
      <xdr:row>14</xdr:row>
      <xdr:rowOff>47625</xdr:rowOff>
    </xdr:from>
    <xdr:to>
      <xdr:col>6</xdr:col>
      <xdr:colOff>149045</xdr:colOff>
      <xdr:row>22</xdr:row>
      <xdr:rowOff>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4C3223-879B-473E-B0EF-E8408F635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827" y="2714625"/>
          <a:ext cx="3301818" cy="1476376"/>
        </a:xfrm>
        <a:prstGeom prst="rect">
          <a:avLst/>
        </a:prstGeom>
      </xdr:spPr>
    </xdr:pic>
    <xdr:clientData/>
  </xdr:twoCellAnchor>
  <xdr:twoCellAnchor>
    <xdr:from>
      <xdr:col>6</xdr:col>
      <xdr:colOff>371475</xdr:colOff>
      <xdr:row>14</xdr:row>
      <xdr:rowOff>171450</xdr:rowOff>
    </xdr:from>
    <xdr:to>
      <xdr:col>9</xdr:col>
      <xdr:colOff>581024</xdr:colOff>
      <xdr:row>16</xdr:row>
      <xdr:rowOff>28575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CBB02C45-DE71-41BE-A969-3C0EC3BDCEA0}"/>
            </a:ext>
          </a:extLst>
        </xdr:cNvPr>
        <xdr:cNvSpPr txBox="1">
          <a:spLocks noChangeArrowheads="1"/>
        </xdr:cNvSpPr>
      </xdr:nvSpPr>
      <xdr:spPr bwMode="auto">
        <a:xfrm>
          <a:off x="4029075" y="2838450"/>
          <a:ext cx="2038349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=NORM.DIST(600, 900, 200,TRUE)</a:t>
          </a:r>
        </a:p>
      </xdr:txBody>
    </xdr:sp>
    <xdr:clientData/>
  </xdr:twoCellAnchor>
  <xdr:twoCellAnchor>
    <xdr:from>
      <xdr:col>6</xdr:col>
      <xdr:colOff>361950</xdr:colOff>
      <xdr:row>17</xdr:row>
      <xdr:rowOff>9525</xdr:rowOff>
    </xdr:from>
    <xdr:to>
      <xdr:col>9</xdr:col>
      <xdr:colOff>581026</xdr:colOff>
      <xdr:row>18</xdr:row>
      <xdr:rowOff>38100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61B08B5C-A38B-48C6-A393-444656B9137F}"/>
            </a:ext>
          </a:extLst>
        </xdr:cNvPr>
        <xdr:cNvSpPr txBox="1">
          <a:spLocks noChangeArrowheads="1"/>
        </xdr:cNvSpPr>
      </xdr:nvSpPr>
      <xdr:spPr bwMode="auto">
        <a:xfrm>
          <a:off x="4019550" y="3248025"/>
          <a:ext cx="2047876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=NORM.DIST(1200, 900, 200,TRUE)</a:t>
          </a:r>
        </a:p>
      </xdr:txBody>
    </xdr:sp>
    <xdr:clientData/>
  </xdr:twoCellAnchor>
  <xdr:twoCellAnchor>
    <xdr:from>
      <xdr:col>9</xdr:col>
      <xdr:colOff>571500</xdr:colOff>
      <xdr:row>16</xdr:row>
      <xdr:rowOff>1</xdr:rowOff>
    </xdr:from>
    <xdr:to>
      <xdr:col>12</xdr:col>
      <xdr:colOff>9526</xdr:colOff>
      <xdr:row>17</xdr:row>
      <xdr:rowOff>19051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921D175D-1EE2-43BC-9F95-4F71EC391A18}"/>
            </a:ext>
          </a:extLst>
        </xdr:cNvPr>
        <xdr:cNvSpPr txBox="1">
          <a:spLocks noChangeArrowheads="1"/>
        </xdr:cNvSpPr>
      </xdr:nvSpPr>
      <xdr:spPr bwMode="auto">
        <a:xfrm>
          <a:off x="6057900" y="3048001"/>
          <a:ext cx="1266826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=0.933193 - 0.066807</a:t>
          </a:r>
        </a:p>
      </xdr:txBody>
    </xdr:sp>
    <xdr:clientData/>
  </xdr:twoCellAnchor>
  <xdr:twoCellAnchor>
    <xdr:from>
      <xdr:col>7</xdr:col>
      <xdr:colOff>76199</xdr:colOff>
      <xdr:row>19</xdr:row>
      <xdr:rowOff>171450</xdr:rowOff>
    </xdr:from>
    <xdr:to>
      <xdr:col>9</xdr:col>
      <xdr:colOff>552450</xdr:colOff>
      <xdr:row>21</xdr:row>
      <xdr:rowOff>28575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D16BEBC6-CF9A-4182-8DCF-F76E37BB0D18}"/>
            </a:ext>
          </a:extLst>
        </xdr:cNvPr>
        <xdr:cNvSpPr txBox="1">
          <a:spLocks noChangeArrowheads="1"/>
        </xdr:cNvSpPr>
      </xdr:nvSpPr>
      <xdr:spPr bwMode="auto">
        <a:xfrm>
          <a:off x="4343399" y="3790950"/>
          <a:ext cx="1695451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=NORM.INV(0.03, 900, 200)</a:t>
          </a:r>
        </a:p>
      </xdr:txBody>
    </xdr:sp>
    <xdr:clientData/>
  </xdr:twoCellAnchor>
  <xdr:twoCellAnchor>
    <xdr:from>
      <xdr:col>13</xdr:col>
      <xdr:colOff>581025</xdr:colOff>
      <xdr:row>18</xdr:row>
      <xdr:rowOff>9525</xdr:rowOff>
    </xdr:from>
    <xdr:to>
      <xdr:col>15</xdr:col>
      <xdr:colOff>590550</xdr:colOff>
      <xdr:row>19</xdr:row>
      <xdr:rowOff>19050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4285C771-7A1E-41A6-B6AD-9C5E226B9FF4}"/>
            </a:ext>
          </a:extLst>
        </xdr:cNvPr>
        <xdr:cNvSpPr txBox="1">
          <a:spLocks noChangeArrowheads="1"/>
        </xdr:cNvSpPr>
      </xdr:nvSpPr>
      <xdr:spPr bwMode="auto">
        <a:xfrm>
          <a:off x="8505825" y="3438525"/>
          <a:ext cx="122872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=NORM.S.INV(0.03)</a:t>
          </a:r>
        </a:p>
      </xdr:txBody>
    </xdr:sp>
    <xdr:clientData/>
  </xdr:twoCellAnchor>
  <xdr:twoCellAnchor>
    <xdr:from>
      <xdr:col>13</xdr:col>
      <xdr:colOff>371475</xdr:colOff>
      <xdr:row>20</xdr:row>
      <xdr:rowOff>1</xdr:rowOff>
    </xdr:from>
    <xdr:to>
      <xdr:col>15</xdr:col>
      <xdr:colOff>581025</xdr:colOff>
      <xdr:row>21</xdr:row>
      <xdr:rowOff>19050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BCD645A2-785F-448B-81C7-FA5D64076D1E}"/>
            </a:ext>
          </a:extLst>
        </xdr:cNvPr>
        <xdr:cNvSpPr txBox="1">
          <a:spLocks noChangeArrowheads="1"/>
        </xdr:cNvSpPr>
      </xdr:nvSpPr>
      <xdr:spPr bwMode="auto">
        <a:xfrm>
          <a:off x="8296275" y="3810001"/>
          <a:ext cx="1428750" cy="209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=900 + (-1.88079) * 200</a:t>
          </a:r>
        </a:p>
      </xdr:txBody>
    </xdr:sp>
    <xdr:clientData/>
  </xdr:twoCellAnchor>
  <xdr:twoCellAnchor editAs="oneCell">
    <xdr:from>
      <xdr:col>15</xdr:col>
      <xdr:colOff>552450</xdr:colOff>
      <xdr:row>3</xdr:row>
      <xdr:rowOff>123825</xdr:rowOff>
    </xdr:from>
    <xdr:to>
      <xdr:col>17</xdr:col>
      <xdr:colOff>41459</xdr:colOff>
      <xdr:row>4</xdr:row>
      <xdr:rowOff>85724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B97E3B9-407B-49B5-87C1-EB1074D3A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96450" y="695325"/>
          <a:ext cx="708209" cy="152399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19</xdr:row>
      <xdr:rowOff>85725</xdr:rowOff>
    </xdr:from>
    <xdr:to>
      <xdr:col>14</xdr:col>
      <xdr:colOff>279584</xdr:colOff>
      <xdr:row>20</xdr:row>
      <xdr:rowOff>47624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6E3134C-EE58-4E16-BE11-22A4FE626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05775" y="3705225"/>
          <a:ext cx="708209" cy="152399"/>
        </a:xfrm>
        <a:prstGeom prst="rect">
          <a:avLst/>
        </a:prstGeom>
      </xdr:spPr>
    </xdr:pic>
    <xdr:clientData/>
  </xdr:twoCellAnchor>
  <xdr:twoCellAnchor>
    <xdr:from>
      <xdr:col>0</xdr:col>
      <xdr:colOff>438150</xdr:colOff>
      <xdr:row>0</xdr:row>
      <xdr:rowOff>66675</xdr:rowOff>
    </xdr:from>
    <xdr:to>
      <xdr:col>8</xdr:col>
      <xdr:colOff>352425</xdr:colOff>
      <xdr:row>13</xdr:row>
      <xdr:rowOff>114300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91E8D99-B242-48B6-A983-AC792B6DA0F8}"/>
            </a:ext>
          </a:extLst>
        </xdr:cNvPr>
        <xdr:cNvSpPr/>
      </xdr:nvSpPr>
      <xdr:spPr>
        <a:xfrm>
          <a:off x="438150" y="66675"/>
          <a:ext cx="4791075" cy="2524125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400050</xdr:colOff>
      <xdr:row>0</xdr:row>
      <xdr:rowOff>57150</xdr:rowOff>
    </xdr:from>
    <xdr:to>
      <xdr:col>19</xdr:col>
      <xdr:colOff>257175</xdr:colOff>
      <xdr:row>13</xdr:row>
      <xdr:rowOff>123825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C85A226-072D-4375-BAEC-9EC8E217FF8F}"/>
            </a:ext>
          </a:extLst>
        </xdr:cNvPr>
        <xdr:cNvSpPr/>
      </xdr:nvSpPr>
      <xdr:spPr>
        <a:xfrm>
          <a:off x="5276850" y="57150"/>
          <a:ext cx="6724650" cy="2543175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428625</xdr:colOff>
      <xdr:row>13</xdr:row>
      <xdr:rowOff>161926</xdr:rowOff>
    </xdr:from>
    <xdr:to>
      <xdr:col>19</xdr:col>
      <xdr:colOff>247650</xdr:colOff>
      <xdr:row>22</xdr:row>
      <xdr:rowOff>66676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8F66829-9D39-4FEC-B565-5454CD84AEF6}"/>
            </a:ext>
          </a:extLst>
        </xdr:cNvPr>
        <xdr:cNvSpPr/>
      </xdr:nvSpPr>
      <xdr:spPr>
        <a:xfrm>
          <a:off x="428625" y="2638426"/>
          <a:ext cx="11563350" cy="1619250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104776</xdr:colOff>
      <xdr:row>0</xdr:row>
      <xdr:rowOff>161925</xdr:rowOff>
    </xdr:from>
    <xdr:to>
      <xdr:col>15</xdr:col>
      <xdr:colOff>542926</xdr:colOff>
      <xdr:row>8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1E4AD5F-67A5-4EF2-BBE8-4BAE57675D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91426" y="161925"/>
              <a:ext cx="4095750" cy="1514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</xdr:colOff>
      <xdr:row>1</xdr:row>
      <xdr:rowOff>95250</xdr:rowOff>
    </xdr:from>
    <xdr:to>
      <xdr:col>4</xdr:col>
      <xdr:colOff>1371600</xdr:colOff>
      <xdr:row>2</xdr:row>
      <xdr:rowOff>152399</xdr:rowOff>
    </xdr:to>
    <xdr:sp macro="" textlink="">
      <xdr:nvSpPr>
        <xdr:cNvPr id="2056" name="Text Box 8">
          <a:extLst>
            <a:ext uri="{FF2B5EF4-FFF2-40B4-BE49-F238E27FC236}">
              <a16:creationId xmlns:a16="http://schemas.microsoft.com/office/drawing/2014/main" id="{72B07573-24AF-4AC0-9A56-A4B2C341FF6E}"/>
            </a:ext>
          </a:extLst>
        </xdr:cNvPr>
        <xdr:cNvSpPr txBox="1">
          <a:spLocks noChangeArrowheads="1"/>
        </xdr:cNvSpPr>
      </xdr:nvSpPr>
      <xdr:spPr bwMode="auto">
        <a:xfrm>
          <a:off x="2847976" y="95250"/>
          <a:ext cx="1371599" cy="2476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=RANDBETWEEN(1, 5)</a:t>
          </a:r>
        </a:p>
      </xdr:txBody>
    </xdr:sp>
    <xdr:clientData/>
  </xdr:twoCellAnchor>
  <xdr:twoCellAnchor>
    <xdr:from>
      <xdr:col>5</xdr:col>
      <xdr:colOff>19051</xdr:colOff>
      <xdr:row>1</xdr:row>
      <xdr:rowOff>95250</xdr:rowOff>
    </xdr:from>
    <xdr:to>
      <xdr:col>5</xdr:col>
      <xdr:colOff>1371600</xdr:colOff>
      <xdr:row>2</xdr:row>
      <xdr:rowOff>152400</xdr:rowOff>
    </xdr:to>
    <xdr:sp macro="" textlink="">
      <xdr:nvSpPr>
        <xdr:cNvPr id="2057" name="Text Box 9">
          <a:extLst>
            <a:ext uri="{FF2B5EF4-FFF2-40B4-BE49-F238E27FC236}">
              <a16:creationId xmlns:a16="http://schemas.microsoft.com/office/drawing/2014/main" id="{4E111DB2-D1CD-420A-870F-39EF0ADFD7BB}"/>
            </a:ext>
          </a:extLst>
        </xdr:cNvPr>
        <xdr:cNvSpPr txBox="1">
          <a:spLocks noChangeArrowheads="1"/>
        </xdr:cNvSpPr>
      </xdr:nvSpPr>
      <xdr:spPr bwMode="auto">
        <a:xfrm>
          <a:off x="4257676" y="95250"/>
          <a:ext cx="1352549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=RANDBETWEEN(1, 5)</a:t>
          </a:r>
        </a:p>
      </xdr:txBody>
    </xdr:sp>
    <xdr:clientData/>
  </xdr:twoCellAnchor>
  <xdr:twoCellAnchor>
    <xdr:from>
      <xdr:col>9</xdr:col>
      <xdr:colOff>85725</xdr:colOff>
      <xdr:row>10</xdr:row>
      <xdr:rowOff>28576</xdr:rowOff>
    </xdr:from>
    <xdr:to>
      <xdr:col>15</xdr:col>
      <xdr:colOff>419100</xdr:colOff>
      <xdr:row>20</xdr:row>
      <xdr:rowOff>142876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E052DD59-D0B8-433A-A20B-717D0A08A2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72375" y="1933576"/>
              <a:ext cx="3990975" cy="201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76199</xdr:colOff>
      <xdr:row>0</xdr:row>
      <xdr:rowOff>161926</xdr:rowOff>
    </xdr:from>
    <xdr:to>
      <xdr:col>5</xdr:col>
      <xdr:colOff>0</xdr:colOff>
      <xdr:row>1</xdr:row>
      <xdr:rowOff>171450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2FE16708-B466-4BBF-A262-2A32AABECB04}"/>
            </a:ext>
          </a:extLst>
        </xdr:cNvPr>
        <xdr:cNvSpPr txBox="1">
          <a:spLocks noChangeArrowheads="1"/>
        </xdr:cNvSpPr>
      </xdr:nvSpPr>
      <xdr:spPr bwMode="auto">
        <a:xfrm>
          <a:off x="2390774" y="161926"/>
          <a:ext cx="1962151" cy="2000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=RANDBETWEEN(10000, 100000)</a:t>
          </a:r>
        </a:p>
      </xdr:txBody>
    </xdr:sp>
    <xdr:clientData/>
  </xdr:twoCellAnchor>
  <xdr:twoCellAnchor>
    <xdr:from>
      <xdr:col>6</xdr:col>
      <xdr:colOff>85725</xdr:colOff>
      <xdr:row>0</xdr:row>
      <xdr:rowOff>171450</xdr:rowOff>
    </xdr:from>
    <xdr:to>
      <xdr:col>6</xdr:col>
      <xdr:colOff>704850</xdr:colOff>
      <xdr:row>1</xdr:row>
      <xdr:rowOff>180975</xdr:rowOff>
    </xdr:to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59C668F0-806A-4CCF-BF7B-174990EB1301}"/>
            </a:ext>
          </a:extLst>
        </xdr:cNvPr>
        <xdr:cNvSpPr txBox="1">
          <a:spLocks noChangeArrowheads="1"/>
        </xdr:cNvSpPr>
      </xdr:nvSpPr>
      <xdr:spPr bwMode="auto">
        <a:xfrm>
          <a:off x="5114925" y="171450"/>
          <a:ext cx="61912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=RAND()</a:t>
          </a:r>
        </a:p>
      </xdr:txBody>
    </xdr:sp>
    <xdr:clientData/>
  </xdr:twoCellAnchor>
  <xdr:twoCellAnchor>
    <xdr:from>
      <xdr:col>5</xdr:col>
      <xdr:colOff>28575</xdr:colOff>
      <xdr:row>0</xdr:row>
      <xdr:rowOff>161925</xdr:rowOff>
    </xdr:from>
    <xdr:to>
      <xdr:col>5</xdr:col>
      <xdr:colOff>1371600</xdr:colOff>
      <xdr:row>1</xdr:row>
      <xdr:rowOff>180975</xdr:rowOff>
    </xdr:to>
    <xdr:sp macro="" textlink="">
      <xdr:nvSpPr>
        <xdr:cNvPr id="3078" name="Text Box 6">
          <a:extLst>
            <a:ext uri="{FF2B5EF4-FFF2-40B4-BE49-F238E27FC236}">
              <a16:creationId xmlns:a16="http://schemas.microsoft.com/office/drawing/2014/main" id="{0706C3CA-01CE-4852-A13D-CDEBC562C286}"/>
            </a:ext>
          </a:extLst>
        </xdr:cNvPr>
        <xdr:cNvSpPr txBox="1">
          <a:spLocks noChangeArrowheads="1"/>
        </xdr:cNvSpPr>
      </xdr:nvSpPr>
      <xdr:spPr bwMode="auto">
        <a:xfrm>
          <a:off x="4381500" y="161925"/>
          <a:ext cx="13430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=E3/SUM($E$3:$E$14)</a:t>
          </a:r>
        </a:p>
      </xdr:txBody>
    </xdr:sp>
    <xdr:clientData/>
  </xdr:twoCellAnchor>
  <xdr:twoCellAnchor>
    <xdr:from>
      <xdr:col>7</xdr:col>
      <xdr:colOff>200025</xdr:colOff>
      <xdr:row>0</xdr:row>
      <xdr:rowOff>180975</xdr:rowOff>
    </xdr:from>
    <xdr:to>
      <xdr:col>7</xdr:col>
      <xdr:colOff>771525</xdr:colOff>
      <xdr:row>1</xdr:row>
      <xdr:rowOff>171450</xdr:rowOff>
    </xdr:to>
    <xdr:sp macro="" textlink="">
      <xdr:nvSpPr>
        <xdr:cNvPr id="3079" name="Text Box 7">
          <a:extLst>
            <a:ext uri="{FF2B5EF4-FFF2-40B4-BE49-F238E27FC236}">
              <a16:creationId xmlns:a16="http://schemas.microsoft.com/office/drawing/2014/main" id="{E4E318AB-93A0-460B-8345-21690E3BD8F9}"/>
            </a:ext>
          </a:extLst>
        </xdr:cNvPr>
        <xdr:cNvSpPr txBox="1">
          <a:spLocks noChangeArrowheads="1"/>
        </xdr:cNvSpPr>
      </xdr:nvSpPr>
      <xdr:spPr bwMode="auto">
        <a:xfrm>
          <a:off x="6877050" y="180975"/>
          <a:ext cx="5715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=F3*G3</a:t>
          </a:r>
        </a:p>
      </xdr:txBody>
    </xdr:sp>
    <xdr:clientData/>
  </xdr:twoCellAnchor>
  <xdr:twoCellAnchor>
    <xdr:from>
      <xdr:col>7</xdr:col>
      <xdr:colOff>66675</xdr:colOff>
      <xdr:row>15</xdr:row>
      <xdr:rowOff>9525</xdr:rowOff>
    </xdr:from>
    <xdr:to>
      <xdr:col>7</xdr:col>
      <xdr:colOff>1000125</xdr:colOff>
      <xdr:row>16</xdr:row>
      <xdr:rowOff>19050</xdr:rowOff>
    </xdr:to>
    <xdr:sp macro="" textlink="">
      <xdr:nvSpPr>
        <xdr:cNvPr id="3080" name="Text Box 8">
          <a:extLst>
            <a:ext uri="{FF2B5EF4-FFF2-40B4-BE49-F238E27FC236}">
              <a16:creationId xmlns:a16="http://schemas.microsoft.com/office/drawing/2014/main" id="{EB58D680-F08E-4019-BEA0-F421B21BC70E}"/>
            </a:ext>
          </a:extLst>
        </xdr:cNvPr>
        <xdr:cNvSpPr txBox="1">
          <a:spLocks noChangeArrowheads="1"/>
        </xdr:cNvSpPr>
      </xdr:nvSpPr>
      <xdr:spPr bwMode="auto">
        <a:xfrm>
          <a:off x="6743700" y="2867025"/>
          <a:ext cx="93345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=SUM(H3:H14)</a:t>
          </a:r>
        </a:p>
      </xdr:txBody>
    </xdr:sp>
    <xdr:clientData/>
  </xdr:twoCellAnchor>
  <xdr:twoCellAnchor>
    <xdr:from>
      <xdr:col>5</xdr:col>
      <xdr:colOff>1104900</xdr:colOff>
      <xdr:row>15</xdr:row>
      <xdr:rowOff>9525</xdr:rowOff>
    </xdr:from>
    <xdr:to>
      <xdr:col>6</xdr:col>
      <xdr:colOff>819150</xdr:colOff>
      <xdr:row>16</xdr:row>
      <xdr:rowOff>19050</xdr:rowOff>
    </xdr:to>
    <xdr:sp macro="" textlink="">
      <xdr:nvSpPr>
        <xdr:cNvPr id="3081" name="Text Box 9">
          <a:extLst>
            <a:ext uri="{FF2B5EF4-FFF2-40B4-BE49-F238E27FC236}">
              <a16:creationId xmlns:a16="http://schemas.microsoft.com/office/drawing/2014/main" id="{0CAE51A3-494E-47A7-B67B-4092D7469F1E}"/>
            </a:ext>
          </a:extLst>
        </xdr:cNvPr>
        <xdr:cNvSpPr txBox="1">
          <a:spLocks noChangeArrowheads="1"/>
        </xdr:cNvSpPr>
      </xdr:nvSpPr>
      <xdr:spPr bwMode="auto">
        <a:xfrm>
          <a:off x="5457825" y="2867025"/>
          <a:ext cx="118110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=AVERAGE(G3:G14)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1</xdr:row>
      <xdr:rowOff>9525</xdr:rowOff>
    </xdr:from>
    <xdr:to>
      <xdr:col>6</xdr:col>
      <xdr:colOff>247650</xdr:colOff>
      <xdr:row>8</xdr:row>
      <xdr:rowOff>132314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EEEA0A-93A2-4AFE-A411-54A249C89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200025"/>
          <a:ext cx="2952750" cy="1456289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361951</xdr:colOff>
      <xdr:row>11</xdr:row>
      <xdr:rowOff>76200</xdr:rowOff>
    </xdr:from>
    <xdr:to>
      <xdr:col>6</xdr:col>
      <xdr:colOff>238125</xdr:colOff>
      <xdr:row>21</xdr:row>
      <xdr:rowOff>1599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59E690-C7D4-40D1-B6F7-B46001AF9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1" y="2171700"/>
          <a:ext cx="2924174" cy="1830399"/>
        </a:xfrm>
        <a:prstGeom prst="rect">
          <a:avLst/>
        </a:prstGeom>
      </xdr:spPr>
    </xdr:pic>
    <xdr:clientData/>
  </xdr:twoCellAnchor>
  <xdr:twoCellAnchor editAs="oneCell">
    <xdr:from>
      <xdr:col>12</xdr:col>
      <xdr:colOff>57149</xdr:colOff>
      <xdr:row>1</xdr:row>
      <xdr:rowOff>123826</xdr:rowOff>
    </xdr:from>
    <xdr:to>
      <xdr:col>13</xdr:col>
      <xdr:colOff>595364</xdr:colOff>
      <xdr:row>4</xdr:row>
      <xdr:rowOff>66676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D8C1EF-0FE5-4ADF-96BA-9F4E0A336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72349" y="314326"/>
          <a:ext cx="1147815" cy="514350"/>
        </a:xfrm>
        <a:prstGeom prst="rect">
          <a:avLst/>
        </a:prstGeom>
      </xdr:spPr>
    </xdr:pic>
    <xdr:clientData/>
  </xdr:twoCellAnchor>
  <xdr:twoCellAnchor>
    <xdr:from>
      <xdr:col>7</xdr:col>
      <xdr:colOff>76201</xdr:colOff>
      <xdr:row>1</xdr:row>
      <xdr:rowOff>133350</xdr:rowOff>
    </xdr:from>
    <xdr:to>
      <xdr:col>10</xdr:col>
      <xdr:colOff>552451</xdr:colOff>
      <xdr:row>2</xdr:row>
      <xdr:rowOff>161925</xdr:rowOff>
    </xdr:to>
    <xdr:sp macro="" textlink="">
      <xdr:nvSpPr>
        <xdr:cNvPr id="4100" name="Text Box 4">
          <a:extLst>
            <a:ext uri="{FF2B5EF4-FFF2-40B4-BE49-F238E27FC236}">
              <a16:creationId xmlns:a16="http://schemas.microsoft.com/office/drawing/2014/main" id="{6961C573-F6D4-4237-8B89-7FC7DDCACE9A}"/>
            </a:ext>
          </a:extLst>
        </xdr:cNvPr>
        <xdr:cNvSpPr txBox="1">
          <a:spLocks noChangeArrowheads="1"/>
        </xdr:cNvSpPr>
      </xdr:nvSpPr>
      <xdr:spPr bwMode="auto">
        <a:xfrm>
          <a:off x="4343401" y="323850"/>
          <a:ext cx="230505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=50 + CONFIDENCE.NORM(0.05, 10, 25)</a:t>
          </a:r>
        </a:p>
      </xdr:txBody>
    </xdr:sp>
    <xdr:clientData/>
  </xdr:twoCellAnchor>
  <xdr:twoCellAnchor>
    <xdr:from>
      <xdr:col>7</xdr:col>
      <xdr:colOff>85726</xdr:colOff>
      <xdr:row>3</xdr:row>
      <xdr:rowOff>0</xdr:rowOff>
    </xdr:from>
    <xdr:to>
      <xdr:col>10</xdr:col>
      <xdr:colOff>561976</xdr:colOff>
      <xdr:row>4</xdr:row>
      <xdr:rowOff>38100</xdr:rowOff>
    </xdr:to>
    <xdr:sp macro="" textlink="">
      <xdr:nvSpPr>
        <xdr:cNvPr id="4101" name="Text Box 5">
          <a:extLst>
            <a:ext uri="{FF2B5EF4-FFF2-40B4-BE49-F238E27FC236}">
              <a16:creationId xmlns:a16="http://schemas.microsoft.com/office/drawing/2014/main" id="{7618D77B-C5C2-453D-A77B-02F198A9A78B}"/>
            </a:ext>
          </a:extLst>
        </xdr:cNvPr>
        <xdr:cNvSpPr txBox="1">
          <a:spLocks noChangeArrowheads="1"/>
        </xdr:cNvSpPr>
      </xdr:nvSpPr>
      <xdr:spPr bwMode="auto">
        <a:xfrm>
          <a:off x="4352926" y="571500"/>
          <a:ext cx="230505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=50 - CONFIDENCE.NORM(0.05, 10, 25)</a:t>
          </a:r>
        </a:p>
      </xdr:txBody>
    </xdr:sp>
    <xdr:clientData/>
  </xdr:twoCellAnchor>
  <xdr:twoCellAnchor>
    <xdr:from>
      <xdr:col>6</xdr:col>
      <xdr:colOff>561974</xdr:colOff>
      <xdr:row>12</xdr:row>
      <xdr:rowOff>152401</xdr:rowOff>
    </xdr:from>
    <xdr:to>
      <xdr:col>10</xdr:col>
      <xdr:colOff>552449</xdr:colOff>
      <xdr:row>13</xdr:row>
      <xdr:rowOff>171451</xdr:rowOff>
    </xdr:to>
    <xdr:sp macro="" textlink="">
      <xdr:nvSpPr>
        <xdr:cNvPr id="4102" name="Text Box 6">
          <a:extLst>
            <a:ext uri="{FF2B5EF4-FFF2-40B4-BE49-F238E27FC236}">
              <a16:creationId xmlns:a16="http://schemas.microsoft.com/office/drawing/2014/main" id="{135DDC01-C25B-4DFB-BCB1-4E74717C5263}"/>
            </a:ext>
          </a:extLst>
        </xdr:cNvPr>
        <xdr:cNvSpPr txBox="1">
          <a:spLocks noChangeArrowheads="1"/>
        </xdr:cNvSpPr>
      </xdr:nvSpPr>
      <xdr:spPr bwMode="auto">
        <a:xfrm>
          <a:off x="4219574" y="2438401"/>
          <a:ext cx="242887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=2.2 + CONFIDENCE.NORM(0.05, 0.35, 11)</a:t>
          </a:r>
        </a:p>
      </xdr:txBody>
    </xdr:sp>
    <xdr:clientData/>
  </xdr:twoCellAnchor>
  <xdr:twoCellAnchor>
    <xdr:from>
      <xdr:col>6</xdr:col>
      <xdr:colOff>561975</xdr:colOff>
      <xdr:row>14</xdr:row>
      <xdr:rowOff>28574</xdr:rowOff>
    </xdr:from>
    <xdr:to>
      <xdr:col>10</xdr:col>
      <xdr:colOff>552451</xdr:colOff>
      <xdr:row>15</xdr:row>
      <xdr:rowOff>47625</xdr:rowOff>
    </xdr:to>
    <xdr:sp macro="" textlink="">
      <xdr:nvSpPr>
        <xdr:cNvPr id="4103" name="Text Box 7">
          <a:extLst>
            <a:ext uri="{FF2B5EF4-FFF2-40B4-BE49-F238E27FC236}">
              <a16:creationId xmlns:a16="http://schemas.microsoft.com/office/drawing/2014/main" id="{12A313B5-D08B-44C9-83E2-DC8CE66FD259}"/>
            </a:ext>
          </a:extLst>
        </xdr:cNvPr>
        <xdr:cNvSpPr txBox="1">
          <a:spLocks noChangeArrowheads="1"/>
        </xdr:cNvSpPr>
      </xdr:nvSpPr>
      <xdr:spPr bwMode="auto">
        <a:xfrm>
          <a:off x="4219575" y="2695574"/>
          <a:ext cx="2428876" cy="2095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=2.2 - CONFIDENCE.NORM(0.05, 0.35, 11)</a:t>
          </a:r>
        </a:p>
      </xdr:txBody>
    </xdr:sp>
    <xdr:clientData/>
  </xdr:twoCellAnchor>
  <xdr:twoCellAnchor>
    <xdr:from>
      <xdr:col>1</xdr:col>
      <xdr:colOff>247650</xdr:colOff>
      <xdr:row>0</xdr:row>
      <xdr:rowOff>85725</xdr:rowOff>
    </xdr:from>
    <xdr:to>
      <xdr:col>14</xdr:col>
      <xdr:colOff>95250</xdr:colOff>
      <xdr:row>9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637BA8A-9F97-4850-9DC6-DFECCF5E46D2}"/>
            </a:ext>
          </a:extLst>
        </xdr:cNvPr>
        <xdr:cNvSpPr/>
      </xdr:nvSpPr>
      <xdr:spPr>
        <a:xfrm>
          <a:off x="857250" y="85725"/>
          <a:ext cx="7772400" cy="1762125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219074</xdr:colOff>
      <xdr:row>10</xdr:row>
      <xdr:rowOff>133350</xdr:rowOff>
    </xdr:from>
    <xdr:to>
      <xdr:col>14</xdr:col>
      <xdr:colOff>95249</xdr:colOff>
      <xdr:row>21</xdr:row>
      <xdr:rowOff>57150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4E769CA-928C-4B54-98EF-6679FDCCC998}"/>
            </a:ext>
          </a:extLst>
        </xdr:cNvPr>
        <xdr:cNvSpPr/>
      </xdr:nvSpPr>
      <xdr:spPr>
        <a:xfrm>
          <a:off x="828674" y="2038350"/>
          <a:ext cx="7800975" cy="2019300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485774</xdr:colOff>
      <xdr:row>5</xdr:row>
      <xdr:rowOff>171451</xdr:rowOff>
    </xdr:from>
    <xdr:to>
      <xdr:col>10</xdr:col>
      <xdr:colOff>571499</xdr:colOff>
      <xdr:row>7</xdr:row>
      <xdr:rowOff>19051</xdr:rowOff>
    </xdr:to>
    <xdr:sp macro="" textlink="">
      <xdr:nvSpPr>
        <xdr:cNvPr id="4104" name="Text Box 8">
          <a:extLst>
            <a:ext uri="{FF2B5EF4-FFF2-40B4-BE49-F238E27FC236}">
              <a16:creationId xmlns:a16="http://schemas.microsoft.com/office/drawing/2014/main" id="{4ECD79CA-8937-4EAC-8E18-151B5C1F1918}"/>
            </a:ext>
          </a:extLst>
        </xdr:cNvPr>
        <xdr:cNvSpPr txBox="1">
          <a:spLocks noChangeArrowheads="1"/>
        </xdr:cNvSpPr>
      </xdr:nvSpPr>
      <xdr:spPr bwMode="auto">
        <a:xfrm>
          <a:off x="4143374" y="1123951"/>
          <a:ext cx="2524125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=50 + NORM.S.INV(1-0.05/2) * 10/SQRT(25)</a:t>
          </a:r>
        </a:p>
      </xdr:txBody>
    </xdr:sp>
    <xdr:clientData/>
  </xdr:twoCellAnchor>
  <xdr:twoCellAnchor>
    <xdr:from>
      <xdr:col>6</xdr:col>
      <xdr:colOff>485775</xdr:colOff>
      <xdr:row>7</xdr:row>
      <xdr:rowOff>47625</xdr:rowOff>
    </xdr:from>
    <xdr:to>
      <xdr:col>10</xdr:col>
      <xdr:colOff>571500</xdr:colOff>
      <xdr:row>8</xdr:row>
      <xdr:rowOff>66675</xdr:rowOff>
    </xdr:to>
    <xdr:sp macro="" textlink="">
      <xdr:nvSpPr>
        <xdr:cNvPr id="4105" name="Text Box 9">
          <a:extLst>
            <a:ext uri="{FF2B5EF4-FFF2-40B4-BE49-F238E27FC236}">
              <a16:creationId xmlns:a16="http://schemas.microsoft.com/office/drawing/2014/main" id="{5744C1B9-1C14-4CC1-9202-BB633C1DE052}"/>
            </a:ext>
          </a:extLst>
        </xdr:cNvPr>
        <xdr:cNvSpPr txBox="1">
          <a:spLocks noChangeArrowheads="1"/>
        </xdr:cNvSpPr>
      </xdr:nvSpPr>
      <xdr:spPr bwMode="auto">
        <a:xfrm>
          <a:off x="4143375" y="1381125"/>
          <a:ext cx="25241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=50 - NORM.S.INV(1-0.05/2) * 10/SQRT(25)</a:t>
          </a:r>
        </a:p>
      </xdr:txBody>
    </xdr:sp>
    <xdr:clientData/>
  </xdr:twoCellAnchor>
  <xdr:twoCellAnchor editAs="oneCell">
    <xdr:from>
      <xdr:col>12</xdr:col>
      <xdr:colOff>47625</xdr:colOff>
      <xdr:row>5</xdr:row>
      <xdr:rowOff>142875</xdr:rowOff>
    </xdr:from>
    <xdr:to>
      <xdr:col>13</xdr:col>
      <xdr:colOff>585840</xdr:colOff>
      <xdr:row>8</xdr:row>
      <xdr:rowOff>85725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F1E12A8-E7FB-4C33-A8FF-5474BB7DB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62825" y="1095375"/>
          <a:ext cx="1147815" cy="514350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12</xdr:row>
      <xdr:rowOff>123825</xdr:rowOff>
    </xdr:from>
    <xdr:to>
      <xdr:col>13</xdr:col>
      <xdr:colOff>595365</xdr:colOff>
      <xdr:row>15</xdr:row>
      <xdr:rowOff>66675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177D329-56B8-4203-9AC3-3B1E154B5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72350" y="2409825"/>
          <a:ext cx="1147815" cy="514350"/>
        </a:xfrm>
        <a:prstGeom prst="rect">
          <a:avLst/>
        </a:prstGeom>
      </xdr:spPr>
    </xdr:pic>
    <xdr:clientData/>
  </xdr:twoCellAnchor>
  <xdr:twoCellAnchor>
    <xdr:from>
      <xdr:col>6</xdr:col>
      <xdr:colOff>342900</xdr:colOff>
      <xdr:row>16</xdr:row>
      <xdr:rowOff>142875</xdr:rowOff>
    </xdr:from>
    <xdr:to>
      <xdr:col>10</xdr:col>
      <xdr:colOff>571500</xdr:colOff>
      <xdr:row>17</xdr:row>
      <xdr:rowOff>180975</xdr:rowOff>
    </xdr:to>
    <xdr:sp macro="" textlink="">
      <xdr:nvSpPr>
        <xdr:cNvPr id="4106" name="Text Box 10">
          <a:extLst>
            <a:ext uri="{FF2B5EF4-FFF2-40B4-BE49-F238E27FC236}">
              <a16:creationId xmlns:a16="http://schemas.microsoft.com/office/drawing/2014/main" id="{7C7FC481-2FA9-42BF-93D2-A8B4FFC593A5}"/>
            </a:ext>
          </a:extLst>
        </xdr:cNvPr>
        <xdr:cNvSpPr txBox="1">
          <a:spLocks noChangeArrowheads="1"/>
        </xdr:cNvSpPr>
      </xdr:nvSpPr>
      <xdr:spPr bwMode="auto">
        <a:xfrm>
          <a:off x="4000500" y="3190875"/>
          <a:ext cx="26670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=2.2 + NORM.S.INV(1-0.05/2) * 0.35/SQRT(11)</a:t>
          </a:r>
        </a:p>
      </xdr:txBody>
    </xdr:sp>
    <xdr:clientData/>
  </xdr:twoCellAnchor>
  <xdr:twoCellAnchor>
    <xdr:from>
      <xdr:col>6</xdr:col>
      <xdr:colOff>342900</xdr:colOff>
      <xdr:row>18</xdr:row>
      <xdr:rowOff>28575</xdr:rowOff>
    </xdr:from>
    <xdr:to>
      <xdr:col>10</xdr:col>
      <xdr:colOff>571500</xdr:colOff>
      <xdr:row>19</xdr:row>
      <xdr:rowOff>57150</xdr:rowOff>
    </xdr:to>
    <xdr:sp macro="" textlink="">
      <xdr:nvSpPr>
        <xdr:cNvPr id="4107" name="Text Box 11">
          <a:extLst>
            <a:ext uri="{FF2B5EF4-FFF2-40B4-BE49-F238E27FC236}">
              <a16:creationId xmlns:a16="http://schemas.microsoft.com/office/drawing/2014/main" id="{A36EA6C0-4DBB-40ED-A26C-452838003502}"/>
            </a:ext>
          </a:extLst>
        </xdr:cNvPr>
        <xdr:cNvSpPr txBox="1">
          <a:spLocks noChangeArrowheads="1"/>
        </xdr:cNvSpPr>
      </xdr:nvSpPr>
      <xdr:spPr bwMode="auto">
        <a:xfrm>
          <a:off x="4000500" y="3457575"/>
          <a:ext cx="26670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=2.2 - NORM.S.INV(1-0.05/2) * 0.35/SQRT(11)</a:t>
          </a:r>
        </a:p>
      </xdr:txBody>
    </xdr:sp>
    <xdr:clientData/>
  </xdr:twoCellAnchor>
  <xdr:twoCellAnchor editAs="oneCell">
    <xdr:from>
      <xdr:col>12</xdr:col>
      <xdr:colOff>57150</xdr:colOff>
      <xdr:row>16</xdr:row>
      <xdr:rowOff>133350</xdr:rowOff>
    </xdr:from>
    <xdr:to>
      <xdr:col>13</xdr:col>
      <xdr:colOff>595365</xdr:colOff>
      <xdr:row>19</xdr:row>
      <xdr:rowOff>76200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20B4EF1-B912-4E8D-AB66-E3E35EDE0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72350" y="3181350"/>
          <a:ext cx="1147815" cy="5143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1</xdr:rowOff>
    </xdr:from>
    <xdr:to>
      <xdr:col>8</xdr:col>
      <xdr:colOff>757294</xdr:colOff>
      <xdr:row>5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B6E77-F022-422A-8718-82AD1C3E6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81001"/>
          <a:ext cx="4414894" cy="723900"/>
        </a:xfrm>
        <a:prstGeom prst="rect">
          <a:avLst/>
        </a:prstGeom>
      </xdr:spPr>
    </xdr:pic>
    <xdr:clientData/>
  </xdr:twoCellAnchor>
  <xdr:twoCellAnchor>
    <xdr:from>
      <xdr:col>3</xdr:col>
      <xdr:colOff>209550</xdr:colOff>
      <xdr:row>6</xdr:row>
      <xdr:rowOff>180975</xdr:rowOff>
    </xdr:from>
    <xdr:to>
      <xdr:col>6</xdr:col>
      <xdr:colOff>552450</xdr:colOff>
      <xdr:row>8</xdr:row>
      <xdr:rowOff>19050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9E49D3C9-0241-47DC-96F9-AB0B919F4434}"/>
            </a:ext>
          </a:extLst>
        </xdr:cNvPr>
        <xdr:cNvSpPr txBox="1">
          <a:spLocks noChangeArrowheads="1"/>
        </xdr:cNvSpPr>
      </xdr:nvSpPr>
      <xdr:spPr bwMode="auto">
        <a:xfrm>
          <a:off x="2038350" y="1323975"/>
          <a:ext cx="21717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=(NORM.S.INV(1 - 0.1/2) * 45 / 5) ^ 2</a:t>
          </a:r>
        </a:p>
      </xdr:txBody>
    </xdr:sp>
    <xdr:clientData/>
  </xdr:twoCellAnchor>
  <xdr:twoCellAnchor editAs="oneCell">
    <xdr:from>
      <xdr:col>3</xdr:col>
      <xdr:colOff>581025</xdr:colOff>
      <xdr:row>8</xdr:row>
      <xdr:rowOff>38101</xdr:rowOff>
    </xdr:from>
    <xdr:to>
      <xdr:col>5</xdr:col>
      <xdr:colOff>171450</xdr:colOff>
      <xdr:row>10</xdr:row>
      <xdr:rowOff>170031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D71CB4-B754-4926-8CF7-86809E854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9825" y="1562101"/>
          <a:ext cx="809625" cy="512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A9DD-2EF0-4CE8-8A18-B06FEB6DE95F}">
  <dimension ref="F2:S21"/>
  <sheetViews>
    <sheetView workbookViewId="0">
      <selection activeCell="T25" sqref="T25"/>
    </sheetView>
  </sheetViews>
  <sheetFormatPr defaultRowHeight="15" x14ac:dyDescent="0.25"/>
  <cols>
    <col min="18" max="18" width="11.5703125" customWidth="1"/>
  </cols>
  <sheetData>
    <row r="2" spans="6:19" x14ac:dyDescent="0.25">
      <c r="S2" s="2">
        <f>_xlfn.NORM.S.INV(0.2)</f>
        <v>-0.84162123357291452</v>
      </c>
    </row>
    <row r="3" spans="6:19" x14ac:dyDescent="0.25">
      <c r="S3" s="2" t="s">
        <v>0</v>
      </c>
    </row>
    <row r="5" spans="6:19" x14ac:dyDescent="0.25">
      <c r="S5" s="2">
        <f>18 + (-0.84162) * 5</f>
        <v>13.7919</v>
      </c>
    </row>
    <row r="6" spans="6:19" x14ac:dyDescent="0.25">
      <c r="S6" s="2" t="s">
        <v>1</v>
      </c>
    </row>
    <row r="9" spans="6:19" x14ac:dyDescent="0.25">
      <c r="S9" s="1">
        <f>_xlfn.NORM.INV(0.2, 18, 5)</f>
        <v>13.791893832135427</v>
      </c>
    </row>
    <row r="10" spans="6:19" x14ac:dyDescent="0.25">
      <c r="S10" s="2" t="s">
        <v>1</v>
      </c>
    </row>
    <row r="13" spans="6:19" x14ac:dyDescent="0.25">
      <c r="F13" s="2">
        <f>_xlfn.NORM.DIST(18.6, 18, 5, 1)</f>
        <v>0.54775842602058389</v>
      </c>
      <c r="G13" s="2" t="s">
        <v>2</v>
      </c>
    </row>
    <row r="16" spans="6:19" x14ac:dyDescent="0.25">
      <c r="K16" s="2">
        <f>_xlfn.NORM.DIST(600, 900, 200,TRUE)</f>
        <v>6.6807201268858057E-2</v>
      </c>
      <c r="L16" s="2" t="s">
        <v>2</v>
      </c>
    </row>
    <row r="17" spans="11:18" x14ac:dyDescent="0.25">
      <c r="M17" s="2">
        <f>K18-K16</f>
        <v>0.86638559746228383</v>
      </c>
      <c r="N17" s="2" t="s">
        <v>2</v>
      </c>
    </row>
    <row r="18" spans="11:18" x14ac:dyDescent="0.25">
      <c r="K18" s="2">
        <f>_xlfn.NORM.DIST(1200, 900, 200,TRUE)</f>
        <v>0.93319279873114191</v>
      </c>
      <c r="L18" s="2" t="s">
        <v>2</v>
      </c>
    </row>
    <row r="19" spans="11:18" x14ac:dyDescent="0.25">
      <c r="Q19" s="2">
        <f>_xlfn.NORM.S.INV(0.03)</f>
        <v>-1.8807936081512509</v>
      </c>
      <c r="R19" s="2" t="s">
        <v>0</v>
      </c>
    </row>
    <row r="21" spans="11:18" x14ac:dyDescent="0.25">
      <c r="K21" s="2">
        <f>_xlfn.NORM.INV(0.03, 900, 200)</f>
        <v>523.84127836974983</v>
      </c>
      <c r="L21" s="2" t="s">
        <v>1</v>
      </c>
      <c r="Q21" s="2">
        <f>900 + (-1.88079) * 200</f>
        <v>523.84199999999998</v>
      </c>
      <c r="R2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306D-F498-4C81-B1E2-5AB6B066B995}">
  <dimension ref="B1:P234"/>
  <sheetViews>
    <sheetView workbookViewId="0">
      <selection activeCell="Q25" sqref="Q25"/>
    </sheetView>
  </sheetViews>
  <sheetFormatPr defaultRowHeight="15" x14ac:dyDescent="0.25"/>
  <cols>
    <col min="2" max="2" width="15.28515625" bestFit="1" customWidth="1"/>
    <col min="5" max="5" width="20.85546875" customWidth="1"/>
    <col min="6" max="6" width="21.28515625" customWidth="1"/>
  </cols>
  <sheetData>
    <row r="1" spans="2:16" x14ac:dyDescent="0.25">
      <c r="E1" s="7" t="s">
        <v>205</v>
      </c>
      <c r="F1" s="7"/>
    </row>
    <row r="2" spans="2:16" x14ac:dyDescent="0.25">
      <c r="J2" s="6"/>
      <c r="K2" s="6"/>
      <c r="L2" s="6"/>
      <c r="M2" s="6"/>
      <c r="N2" s="6"/>
      <c r="O2" s="6"/>
      <c r="P2" s="6"/>
    </row>
    <row r="3" spans="2:16" x14ac:dyDescent="0.25">
      <c r="G3" s="5" t="s">
        <v>20</v>
      </c>
      <c r="J3" s="6"/>
      <c r="K3" s="6"/>
      <c r="L3" s="6"/>
      <c r="M3" s="6"/>
      <c r="N3" s="6"/>
      <c r="O3" s="6"/>
      <c r="P3" s="6"/>
    </row>
    <row r="4" spans="2:16" x14ac:dyDescent="0.25">
      <c r="B4" s="4" t="s">
        <v>3</v>
      </c>
      <c r="D4" s="3" t="s">
        <v>4</v>
      </c>
      <c r="E4" s="3">
        <v>3</v>
      </c>
      <c r="F4" s="3">
        <v>1</v>
      </c>
      <c r="G4" s="3">
        <f>AVERAGE(E4, F4)</f>
        <v>2</v>
      </c>
      <c r="J4" s="6"/>
      <c r="K4" s="6"/>
      <c r="L4" s="6"/>
      <c r="M4" s="6"/>
      <c r="N4" s="6"/>
      <c r="O4" s="6"/>
      <c r="P4" s="6"/>
    </row>
    <row r="5" spans="2:16" x14ac:dyDescent="0.25">
      <c r="B5" s="3">
        <v>1</v>
      </c>
      <c r="D5" s="3" t="s">
        <v>5</v>
      </c>
      <c r="E5" s="3">
        <v>2</v>
      </c>
      <c r="F5" s="3">
        <v>3</v>
      </c>
      <c r="G5" s="3">
        <f t="shared" ref="G5:G20" si="0">AVERAGE(E5, F5)</f>
        <v>2.5</v>
      </c>
      <c r="J5" s="6"/>
      <c r="K5" s="6"/>
      <c r="L5" s="6"/>
      <c r="M5" s="6"/>
      <c r="N5" s="6"/>
      <c r="O5" s="6"/>
      <c r="P5" s="6"/>
    </row>
    <row r="6" spans="2:16" x14ac:dyDescent="0.25">
      <c r="B6" s="3">
        <v>2</v>
      </c>
      <c r="D6" s="3" t="s">
        <v>6</v>
      </c>
      <c r="E6" s="3">
        <v>5</v>
      </c>
      <c r="F6" s="3">
        <v>1</v>
      </c>
      <c r="G6" s="3">
        <f t="shared" si="0"/>
        <v>3</v>
      </c>
      <c r="J6" s="6"/>
      <c r="K6" s="6"/>
      <c r="L6" s="6"/>
      <c r="M6" s="6"/>
      <c r="N6" s="6"/>
      <c r="O6" s="6"/>
      <c r="P6" s="6"/>
    </row>
    <row r="7" spans="2:16" x14ac:dyDescent="0.25">
      <c r="B7" s="3">
        <v>3</v>
      </c>
      <c r="D7" s="3" t="s">
        <v>7</v>
      </c>
      <c r="E7" s="3">
        <v>2</v>
      </c>
      <c r="F7" s="3">
        <v>3</v>
      </c>
      <c r="G7" s="3">
        <f t="shared" si="0"/>
        <v>2.5</v>
      </c>
      <c r="J7" s="6"/>
      <c r="K7" s="6"/>
      <c r="L7" s="6"/>
      <c r="M7" s="6"/>
      <c r="N7" s="6"/>
      <c r="O7" s="6"/>
      <c r="P7" s="6"/>
    </row>
    <row r="8" spans="2:16" x14ac:dyDescent="0.25">
      <c r="B8" s="3">
        <v>4</v>
      </c>
      <c r="D8" s="3" t="s">
        <v>8</v>
      </c>
      <c r="E8" s="3">
        <v>5</v>
      </c>
      <c r="F8" s="3">
        <v>4</v>
      </c>
      <c r="G8" s="3">
        <f t="shared" si="0"/>
        <v>4.5</v>
      </c>
      <c r="J8" s="6"/>
      <c r="K8" s="6"/>
      <c r="L8" s="6"/>
      <c r="M8" s="6"/>
      <c r="N8" s="6"/>
      <c r="O8" s="6"/>
      <c r="P8" s="6"/>
    </row>
    <row r="9" spans="2:16" x14ac:dyDescent="0.25">
      <c r="B9" s="3">
        <v>5</v>
      </c>
      <c r="D9" s="3" t="s">
        <v>9</v>
      </c>
      <c r="E9" s="3">
        <v>4</v>
      </c>
      <c r="F9" s="3">
        <v>3</v>
      </c>
      <c r="G9" s="3">
        <f t="shared" si="0"/>
        <v>3.5</v>
      </c>
      <c r="J9" s="6"/>
      <c r="K9" s="6"/>
      <c r="L9" s="6"/>
      <c r="M9" s="6"/>
      <c r="N9" s="6"/>
      <c r="O9" s="6"/>
      <c r="P9" s="6"/>
    </row>
    <row r="10" spans="2:16" x14ac:dyDescent="0.25">
      <c r="B10" s="3"/>
      <c r="D10" s="3" t="s">
        <v>10</v>
      </c>
      <c r="E10" s="3">
        <v>4</v>
      </c>
      <c r="F10" s="3">
        <v>1</v>
      </c>
      <c r="G10" s="3">
        <f t="shared" si="0"/>
        <v>2.5</v>
      </c>
    </row>
    <row r="11" spans="2:16" x14ac:dyDescent="0.25">
      <c r="B11" s="3"/>
      <c r="D11" s="3" t="s">
        <v>11</v>
      </c>
      <c r="E11" s="3">
        <v>1</v>
      </c>
      <c r="F11" s="3">
        <v>2</v>
      </c>
      <c r="G11" s="3">
        <f t="shared" si="0"/>
        <v>1.5</v>
      </c>
      <c r="J11" s="6"/>
      <c r="K11" s="6"/>
      <c r="L11" s="6"/>
      <c r="M11" s="6"/>
      <c r="N11" s="6"/>
      <c r="O11" s="6"/>
      <c r="P11" s="6"/>
    </row>
    <row r="12" spans="2:16" x14ac:dyDescent="0.25">
      <c r="B12" s="3"/>
      <c r="D12" s="3" t="s">
        <v>12</v>
      </c>
      <c r="E12" s="3">
        <v>2</v>
      </c>
      <c r="F12" s="3">
        <v>5</v>
      </c>
      <c r="G12" s="3">
        <f t="shared" si="0"/>
        <v>3.5</v>
      </c>
      <c r="J12" s="6"/>
      <c r="K12" s="6"/>
      <c r="L12" s="6"/>
      <c r="M12" s="6"/>
      <c r="N12" s="6"/>
      <c r="O12" s="6"/>
      <c r="P12" s="6"/>
    </row>
    <row r="13" spans="2:16" x14ac:dyDescent="0.25">
      <c r="B13" s="3"/>
      <c r="D13" s="3" t="s">
        <v>13</v>
      </c>
      <c r="E13" s="3">
        <v>2</v>
      </c>
      <c r="F13" s="3">
        <v>5</v>
      </c>
      <c r="G13" s="3">
        <f t="shared" si="0"/>
        <v>3.5</v>
      </c>
      <c r="J13" s="6"/>
      <c r="K13" s="6"/>
      <c r="L13" s="6"/>
      <c r="M13" s="6"/>
      <c r="N13" s="6"/>
      <c r="O13" s="6"/>
      <c r="P13" s="6"/>
    </row>
    <row r="14" spans="2:16" x14ac:dyDescent="0.25">
      <c r="B14" s="3"/>
      <c r="D14" s="3" t="s">
        <v>14</v>
      </c>
      <c r="E14" s="3">
        <v>1</v>
      </c>
      <c r="F14" s="3">
        <v>5</v>
      </c>
      <c r="G14" s="3">
        <f t="shared" si="0"/>
        <v>3</v>
      </c>
      <c r="J14" s="6"/>
      <c r="K14" s="6"/>
      <c r="L14" s="6"/>
      <c r="M14" s="6"/>
      <c r="N14" s="6"/>
      <c r="O14" s="6"/>
      <c r="P14" s="6"/>
    </row>
    <row r="15" spans="2:16" x14ac:dyDescent="0.25">
      <c r="B15" s="3"/>
      <c r="D15" s="3" t="s">
        <v>15</v>
      </c>
      <c r="E15" s="3">
        <v>5</v>
      </c>
      <c r="F15" s="3">
        <v>1</v>
      </c>
      <c r="G15" s="3">
        <f t="shared" si="0"/>
        <v>3</v>
      </c>
      <c r="J15" s="6"/>
      <c r="K15" s="6"/>
      <c r="L15" s="6"/>
      <c r="M15" s="6"/>
      <c r="N15" s="6"/>
      <c r="O15" s="6"/>
      <c r="P15" s="6"/>
    </row>
    <row r="16" spans="2:16" x14ac:dyDescent="0.25">
      <c r="B16" s="3"/>
      <c r="D16" s="3" t="s">
        <v>16</v>
      </c>
      <c r="E16" s="3">
        <v>5</v>
      </c>
      <c r="F16" s="3">
        <v>1</v>
      </c>
      <c r="G16" s="3">
        <f t="shared" si="0"/>
        <v>3</v>
      </c>
      <c r="J16" s="6"/>
      <c r="K16" s="6"/>
      <c r="L16" s="6"/>
      <c r="M16" s="6"/>
      <c r="N16" s="6"/>
      <c r="O16" s="6"/>
      <c r="P16" s="6"/>
    </row>
    <row r="17" spans="2:16" x14ac:dyDescent="0.25">
      <c r="B17" s="3"/>
      <c r="D17" s="3" t="s">
        <v>17</v>
      </c>
      <c r="E17" s="3">
        <v>4</v>
      </c>
      <c r="F17" s="3">
        <v>2</v>
      </c>
      <c r="G17" s="3">
        <f t="shared" si="0"/>
        <v>3</v>
      </c>
      <c r="J17" s="6"/>
      <c r="K17" s="6"/>
      <c r="L17" s="6"/>
      <c r="M17" s="6"/>
      <c r="N17" s="6"/>
      <c r="O17" s="6"/>
      <c r="P17" s="6"/>
    </row>
    <row r="18" spans="2:16" x14ac:dyDescent="0.25">
      <c r="B18" s="3"/>
      <c r="D18" s="3" t="s">
        <v>18</v>
      </c>
      <c r="E18" s="3">
        <v>5</v>
      </c>
      <c r="F18" s="3">
        <v>5</v>
      </c>
      <c r="G18" s="3">
        <f t="shared" si="0"/>
        <v>5</v>
      </c>
      <c r="J18" s="6"/>
      <c r="K18" s="6"/>
      <c r="L18" s="6"/>
      <c r="M18" s="6"/>
      <c r="N18" s="6"/>
      <c r="O18" s="6"/>
      <c r="P18" s="6"/>
    </row>
    <row r="19" spans="2:16" x14ac:dyDescent="0.25">
      <c r="D19" s="3" t="s">
        <v>19</v>
      </c>
      <c r="E19" s="3">
        <v>1</v>
      </c>
      <c r="F19" s="3">
        <v>5</v>
      </c>
      <c r="G19" s="3">
        <f t="shared" si="0"/>
        <v>3</v>
      </c>
      <c r="J19" s="6"/>
      <c r="K19" s="6"/>
      <c r="L19" s="6"/>
      <c r="M19" s="6"/>
      <c r="N19" s="6"/>
      <c r="O19" s="6"/>
      <c r="P19" s="6"/>
    </row>
    <row r="20" spans="2:16" x14ac:dyDescent="0.25">
      <c r="D20" s="3" t="s">
        <v>21</v>
      </c>
      <c r="E20" s="3">
        <v>1</v>
      </c>
      <c r="F20" s="3">
        <v>3</v>
      </c>
      <c r="G20" s="3">
        <f t="shared" si="0"/>
        <v>2</v>
      </c>
      <c r="J20" s="6"/>
      <c r="K20" s="6"/>
      <c r="L20" s="6"/>
      <c r="M20" s="6"/>
      <c r="N20" s="6"/>
      <c r="O20" s="6"/>
      <c r="P20" s="6"/>
    </row>
    <row r="21" spans="2:16" x14ac:dyDescent="0.25">
      <c r="D21" s="3" t="s">
        <v>22</v>
      </c>
      <c r="E21" s="3">
        <v>2</v>
      </c>
      <c r="F21" s="3">
        <v>3</v>
      </c>
      <c r="G21" s="3">
        <f t="shared" ref="G21:G73" si="1">AVERAGE(E21, F21)</f>
        <v>2.5</v>
      </c>
      <c r="J21" s="6"/>
      <c r="K21" s="6"/>
      <c r="L21" s="6"/>
      <c r="M21" s="6"/>
      <c r="N21" s="6"/>
      <c r="O21" s="6"/>
      <c r="P21" s="6"/>
    </row>
    <row r="22" spans="2:16" x14ac:dyDescent="0.25">
      <c r="D22" s="3" t="s">
        <v>23</v>
      </c>
      <c r="E22" s="3">
        <v>4</v>
      </c>
      <c r="F22" s="3">
        <v>5</v>
      </c>
      <c r="G22" s="3">
        <f t="shared" si="1"/>
        <v>4.5</v>
      </c>
    </row>
    <row r="23" spans="2:16" x14ac:dyDescent="0.25">
      <c r="D23" s="3" t="s">
        <v>24</v>
      </c>
      <c r="E23" s="3">
        <v>4</v>
      </c>
      <c r="F23" s="3">
        <v>3</v>
      </c>
      <c r="G23" s="3">
        <f t="shared" si="1"/>
        <v>3.5</v>
      </c>
    </row>
    <row r="24" spans="2:16" x14ac:dyDescent="0.25">
      <c r="D24" s="3" t="s">
        <v>25</v>
      </c>
      <c r="E24" s="3">
        <v>2</v>
      </c>
      <c r="F24" s="3">
        <v>3</v>
      </c>
      <c r="G24" s="3">
        <f t="shared" si="1"/>
        <v>2.5</v>
      </c>
    </row>
    <row r="25" spans="2:16" x14ac:dyDescent="0.25">
      <c r="D25" s="3" t="s">
        <v>26</v>
      </c>
      <c r="E25" s="3">
        <v>2</v>
      </c>
      <c r="F25" s="3">
        <v>4</v>
      </c>
      <c r="G25" s="3">
        <f t="shared" si="1"/>
        <v>3</v>
      </c>
    </row>
    <row r="26" spans="2:16" x14ac:dyDescent="0.25">
      <c r="D26" s="3" t="s">
        <v>27</v>
      </c>
      <c r="E26" s="3">
        <v>4</v>
      </c>
      <c r="F26" s="3">
        <v>4</v>
      </c>
      <c r="G26" s="3">
        <f t="shared" si="1"/>
        <v>4</v>
      </c>
    </row>
    <row r="27" spans="2:16" x14ac:dyDescent="0.25">
      <c r="D27" s="3" t="s">
        <v>28</v>
      </c>
      <c r="E27" s="3">
        <v>1</v>
      </c>
      <c r="F27" s="3">
        <v>4</v>
      </c>
      <c r="G27" s="3">
        <f t="shared" si="1"/>
        <v>2.5</v>
      </c>
    </row>
    <row r="28" spans="2:16" x14ac:dyDescent="0.25">
      <c r="D28" s="3" t="s">
        <v>29</v>
      </c>
      <c r="E28" s="3">
        <v>2</v>
      </c>
      <c r="F28" s="3">
        <v>2</v>
      </c>
      <c r="G28" s="3">
        <f t="shared" si="1"/>
        <v>2</v>
      </c>
    </row>
    <row r="29" spans="2:16" x14ac:dyDescent="0.25">
      <c r="D29" s="3" t="s">
        <v>30</v>
      </c>
      <c r="E29" s="3">
        <v>2</v>
      </c>
      <c r="F29" s="3">
        <v>2</v>
      </c>
      <c r="G29" s="3">
        <f t="shared" si="1"/>
        <v>2</v>
      </c>
    </row>
    <row r="30" spans="2:16" x14ac:dyDescent="0.25">
      <c r="D30" s="3" t="s">
        <v>31</v>
      </c>
      <c r="E30" s="3">
        <v>3</v>
      </c>
      <c r="F30" s="3">
        <v>4</v>
      </c>
      <c r="G30" s="3">
        <f t="shared" si="1"/>
        <v>3.5</v>
      </c>
    </row>
    <row r="31" spans="2:16" x14ac:dyDescent="0.25">
      <c r="D31" s="3" t="s">
        <v>32</v>
      </c>
      <c r="E31" s="3">
        <v>4</v>
      </c>
      <c r="F31" s="3">
        <v>4</v>
      </c>
      <c r="G31" s="3">
        <f t="shared" si="1"/>
        <v>4</v>
      </c>
    </row>
    <row r="32" spans="2:16" x14ac:dyDescent="0.25">
      <c r="D32" s="3" t="s">
        <v>33</v>
      </c>
      <c r="E32" s="3">
        <v>5</v>
      </c>
      <c r="F32" s="3">
        <v>5</v>
      </c>
      <c r="G32" s="3">
        <f t="shared" si="1"/>
        <v>5</v>
      </c>
    </row>
    <row r="33" spans="4:7" x14ac:dyDescent="0.25">
      <c r="D33" s="3" t="s">
        <v>34</v>
      </c>
      <c r="E33" s="3">
        <v>4</v>
      </c>
      <c r="F33" s="3">
        <v>3</v>
      </c>
      <c r="G33" s="3">
        <f t="shared" si="1"/>
        <v>3.5</v>
      </c>
    </row>
    <row r="34" spans="4:7" x14ac:dyDescent="0.25">
      <c r="D34" s="3" t="s">
        <v>35</v>
      </c>
      <c r="E34" s="3">
        <v>5</v>
      </c>
      <c r="F34" s="3">
        <v>2</v>
      </c>
      <c r="G34" s="3">
        <f t="shared" si="1"/>
        <v>3.5</v>
      </c>
    </row>
    <row r="35" spans="4:7" x14ac:dyDescent="0.25">
      <c r="D35" s="3" t="s">
        <v>36</v>
      </c>
      <c r="E35" s="3">
        <v>1</v>
      </c>
      <c r="F35" s="3">
        <v>5</v>
      </c>
      <c r="G35" s="3">
        <f t="shared" si="1"/>
        <v>3</v>
      </c>
    </row>
    <row r="36" spans="4:7" x14ac:dyDescent="0.25">
      <c r="D36" s="3" t="s">
        <v>37</v>
      </c>
      <c r="E36" s="3">
        <v>5</v>
      </c>
      <c r="F36" s="3">
        <v>1</v>
      </c>
      <c r="G36" s="3">
        <f t="shared" si="1"/>
        <v>3</v>
      </c>
    </row>
    <row r="37" spans="4:7" x14ac:dyDescent="0.25">
      <c r="D37" s="3" t="s">
        <v>38</v>
      </c>
      <c r="E37" s="3">
        <v>2</v>
      </c>
      <c r="F37" s="3">
        <v>4</v>
      </c>
      <c r="G37" s="3">
        <f t="shared" si="1"/>
        <v>3</v>
      </c>
    </row>
    <row r="38" spans="4:7" x14ac:dyDescent="0.25">
      <c r="D38" s="3" t="s">
        <v>39</v>
      </c>
      <c r="E38" s="3">
        <v>2</v>
      </c>
      <c r="F38" s="3">
        <v>5</v>
      </c>
      <c r="G38" s="3">
        <f t="shared" si="1"/>
        <v>3.5</v>
      </c>
    </row>
    <row r="39" spans="4:7" x14ac:dyDescent="0.25">
      <c r="D39" s="3" t="s">
        <v>40</v>
      </c>
      <c r="E39" s="3">
        <v>3</v>
      </c>
      <c r="F39" s="3">
        <v>2</v>
      </c>
      <c r="G39" s="3">
        <f t="shared" si="1"/>
        <v>2.5</v>
      </c>
    </row>
    <row r="40" spans="4:7" x14ac:dyDescent="0.25">
      <c r="D40" s="3" t="s">
        <v>41</v>
      </c>
      <c r="E40" s="3">
        <v>1</v>
      </c>
      <c r="F40" s="3">
        <v>1</v>
      </c>
      <c r="G40" s="3">
        <f t="shared" si="1"/>
        <v>1</v>
      </c>
    </row>
    <row r="41" spans="4:7" x14ac:dyDescent="0.25">
      <c r="D41" s="3" t="s">
        <v>42</v>
      </c>
      <c r="E41" s="3">
        <v>4</v>
      </c>
      <c r="F41" s="3">
        <v>2</v>
      </c>
      <c r="G41" s="3">
        <f t="shared" si="1"/>
        <v>3</v>
      </c>
    </row>
    <row r="42" spans="4:7" x14ac:dyDescent="0.25">
      <c r="D42" s="3" t="s">
        <v>43</v>
      </c>
      <c r="E42" s="3">
        <v>3</v>
      </c>
      <c r="F42" s="3">
        <v>5</v>
      </c>
      <c r="G42" s="3">
        <f t="shared" si="1"/>
        <v>4</v>
      </c>
    </row>
    <row r="43" spans="4:7" x14ac:dyDescent="0.25">
      <c r="D43" s="3" t="s">
        <v>44</v>
      </c>
      <c r="E43" s="3">
        <v>1</v>
      </c>
      <c r="F43" s="3">
        <v>3</v>
      </c>
      <c r="G43" s="3">
        <f t="shared" si="1"/>
        <v>2</v>
      </c>
    </row>
    <row r="44" spans="4:7" x14ac:dyDescent="0.25">
      <c r="D44" s="3" t="s">
        <v>45</v>
      </c>
      <c r="E44" s="3">
        <v>2</v>
      </c>
      <c r="F44" s="3">
        <v>2</v>
      </c>
      <c r="G44" s="3">
        <f t="shared" si="1"/>
        <v>2</v>
      </c>
    </row>
    <row r="45" spans="4:7" x14ac:dyDescent="0.25">
      <c r="D45" s="3" t="s">
        <v>46</v>
      </c>
      <c r="E45" s="3">
        <v>1</v>
      </c>
      <c r="F45" s="3">
        <v>2</v>
      </c>
      <c r="G45" s="3">
        <f t="shared" si="1"/>
        <v>1.5</v>
      </c>
    </row>
    <row r="46" spans="4:7" x14ac:dyDescent="0.25">
      <c r="D46" s="3" t="s">
        <v>47</v>
      </c>
      <c r="E46" s="3">
        <v>2</v>
      </c>
      <c r="F46" s="3">
        <v>2</v>
      </c>
      <c r="G46" s="3">
        <f t="shared" si="1"/>
        <v>2</v>
      </c>
    </row>
    <row r="47" spans="4:7" x14ac:dyDescent="0.25">
      <c r="D47" s="3" t="s">
        <v>48</v>
      </c>
      <c r="E47" s="3">
        <v>4</v>
      </c>
      <c r="F47" s="3">
        <v>2</v>
      </c>
      <c r="G47" s="3">
        <f t="shared" si="1"/>
        <v>3</v>
      </c>
    </row>
    <row r="48" spans="4:7" x14ac:dyDescent="0.25">
      <c r="D48" s="3" t="s">
        <v>49</v>
      </c>
      <c r="E48" s="3">
        <v>1</v>
      </c>
      <c r="F48" s="3">
        <v>2</v>
      </c>
      <c r="G48" s="3">
        <f t="shared" si="1"/>
        <v>1.5</v>
      </c>
    </row>
    <row r="49" spans="4:7" x14ac:dyDescent="0.25">
      <c r="D49" s="3" t="s">
        <v>50</v>
      </c>
      <c r="E49" s="3">
        <v>1</v>
      </c>
      <c r="F49" s="3">
        <v>4</v>
      </c>
      <c r="G49" s="3">
        <f t="shared" si="1"/>
        <v>2.5</v>
      </c>
    </row>
    <row r="50" spans="4:7" x14ac:dyDescent="0.25">
      <c r="D50" s="3" t="s">
        <v>51</v>
      </c>
      <c r="E50" s="3">
        <v>4</v>
      </c>
      <c r="F50" s="3">
        <v>3</v>
      </c>
      <c r="G50" s="3">
        <f t="shared" si="1"/>
        <v>3.5</v>
      </c>
    </row>
    <row r="51" spans="4:7" x14ac:dyDescent="0.25">
      <c r="D51" s="3" t="s">
        <v>52</v>
      </c>
      <c r="E51" s="3">
        <v>2</v>
      </c>
      <c r="F51" s="3">
        <v>2</v>
      </c>
      <c r="G51" s="3">
        <f t="shared" si="1"/>
        <v>2</v>
      </c>
    </row>
    <row r="52" spans="4:7" x14ac:dyDescent="0.25">
      <c r="D52" s="3" t="s">
        <v>53</v>
      </c>
      <c r="E52" s="3">
        <v>2</v>
      </c>
      <c r="F52" s="3">
        <v>3</v>
      </c>
      <c r="G52" s="3">
        <f t="shared" si="1"/>
        <v>2.5</v>
      </c>
    </row>
    <row r="53" spans="4:7" x14ac:dyDescent="0.25">
      <c r="D53" s="3" t="s">
        <v>54</v>
      </c>
      <c r="E53" s="3">
        <v>5</v>
      </c>
      <c r="F53" s="3">
        <v>1</v>
      </c>
      <c r="G53" s="3">
        <f t="shared" si="1"/>
        <v>3</v>
      </c>
    </row>
    <row r="54" spans="4:7" x14ac:dyDescent="0.25">
      <c r="D54" s="3" t="s">
        <v>55</v>
      </c>
      <c r="E54" s="3">
        <v>4</v>
      </c>
      <c r="F54" s="3">
        <v>2</v>
      </c>
      <c r="G54" s="3">
        <f t="shared" si="1"/>
        <v>3</v>
      </c>
    </row>
    <row r="55" spans="4:7" x14ac:dyDescent="0.25">
      <c r="D55" s="3" t="s">
        <v>56</v>
      </c>
      <c r="E55" s="3">
        <v>2</v>
      </c>
      <c r="F55" s="3">
        <v>2</v>
      </c>
      <c r="G55" s="3">
        <f t="shared" si="1"/>
        <v>2</v>
      </c>
    </row>
    <row r="56" spans="4:7" x14ac:dyDescent="0.25">
      <c r="D56" s="3" t="s">
        <v>57</v>
      </c>
      <c r="E56" s="3">
        <v>1</v>
      </c>
      <c r="F56" s="3">
        <v>1</v>
      </c>
      <c r="G56" s="3">
        <f t="shared" si="1"/>
        <v>1</v>
      </c>
    </row>
    <row r="57" spans="4:7" x14ac:dyDescent="0.25">
      <c r="D57" s="3" t="s">
        <v>58</v>
      </c>
      <c r="E57" s="3">
        <v>2</v>
      </c>
      <c r="F57" s="3">
        <v>5</v>
      </c>
      <c r="G57" s="3">
        <f t="shared" si="1"/>
        <v>3.5</v>
      </c>
    </row>
    <row r="58" spans="4:7" x14ac:dyDescent="0.25">
      <c r="D58" s="3" t="s">
        <v>59</v>
      </c>
      <c r="E58" s="3">
        <v>4</v>
      </c>
      <c r="F58" s="3">
        <v>2</v>
      </c>
      <c r="G58" s="3">
        <f t="shared" si="1"/>
        <v>3</v>
      </c>
    </row>
    <row r="59" spans="4:7" x14ac:dyDescent="0.25">
      <c r="D59" s="3" t="s">
        <v>60</v>
      </c>
      <c r="E59" s="3">
        <v>1</v>
      </c>
      <c r="F59" s="3">
        <v>2</v>
      </c>
      <c r="G59" s="3">
        <f t="shared" si="1"/>
        <v>1.5</v>
      </c>
    </row>
    <row r="60" spans="4:7" x14ac:dyDescent="0.25">
      <c r="D60" s="3" t="s">
        <v>61</v>
      </c>
      <c r="E60" s="3">
        <v>3</v>
      </c>
      <c r="F60" s="3">
        <v>5</v>
      </c>
      <c r="G60" s="3">
        <f t="shared" si="1"/>
        <v>4</v>
      </c>
    </row>
    <row r="61" spans="4:7" x14ac:dyDescent="0.25">
      <c r="D61" s="3" t="s">
        <v>62</v>
      </c>
      <c r="E61" s="3">
        <v>2</v>
      </c>
      <c r="F61" s="3">
        <v>3</v>
      </c>
      <c r="G61" s="3">
        <f t="shared" si="1"/>
        <v>2.5</v>
      </c>
    </row>
    <row r="62" spans="4:7" x14ac:dyDescent="0.25">
      <c r="D62" s="3" t="s">
        <v>63</v>
      </c>
      <c r="E62" s="3">
        <v>5</v>
      </c>
      <c r="F62" s="3">
        <v>3</v>
      </c>
      <c r="G62" s="3">
        <f t="shared" si="1"/>
        <v>4</v>
      </c>
    </row>
    <row r="63" spans="4:7" x14ac:dyDescent="0.25">
      <c r="D63" s="3" t="s">
        <v>64</v>
      </c>
      <c r="E63" s="3">
        <v>3</v>
      </c>
      <c r="F63" s="3">
        <v>1</v>
      </c>
      <c r="G63" s="3">
        <f t="shared" si="1"/>
        <v>2</v>
      </c>
    </row>
    <row r="64" spans="4:7" x14ac:dyDescent="0.25">
      <c r="D64" s="3" t="s">
        <v>65</v>
      </c>
      <c r="E64" s="3">
        <v>3</v>
      </c>
      <c r="F64" s="3">
        <v>5</v>
      </c>
      <c r="G64" s="3">
        <f t="shared" si="1"/>
        <v>4</v>
      </c>
    </row>
    <row r="65" spans="4:7" x14ac:dyDescent="0.25">
      <c r="D65" s="3" t="s">
        <v>66</v>
      </c>
      <c r="E65" s="3">
        <v>3</v>
      </c>
      <c r="F65" s="3">
        <v>4</v>
      </c>
      <c r="G65" s="3">
        <f t="shared" si="1"/>
        <v>3.5</v>
      </c>
    </row>
    <row r="66" spans="4:7" x14ac:dyDescent="0.25">
      <c r="D66" s="3" t="s">
        <v>67</v>
      </c>
      <c r="E66" s="3">
        <v>2</v>
      </c>
      <c r="F66" s="3">
        <v>3</v>
      </c>
      <c r="G66" s="3">
        <f t="shared" si="1"/>
        <v>2.5</v>
      </c>
    </row>
    <row r="67" spans="4:7" x14ac:dyDescent="0.25">
      <c r="D67" s="3" t="s">
        <v>68</v>
      </c>
      <c r="E67" s="3">
        <v>1</v>
      </c>
      <c r="F67" s="3">
        <v>3</v>
      </c>
      <c r="G67" s="3">
        <f t="shared" si="1"/>
        <v>2</v>
      </c>
    </row>
    <row r="68" spans="4:7" x14ac:dyDescent="0.25">
      <c r="D68" s="3" t="s">
        <v>69</v>
      </c>
      <c r="E68" s="3">
        <v>1</v>
      </c>
      <c r="F68" s="3">
        <v>2</v>
      </c>
      <c r="G68" s="3">
        <f t="shared" si="1"/>
        <v>1.5</v>
      </c>
    </row>
    <row r="69" spans="4:7" x14ac:dyDescent="0.25">
      <c r="D69" s="3" t="s">
        <v>70</v>
      </c>
      <c r="E69" s="3">
        <v>5</v>
      </c>
      <c r="F69" s="3">
        <v>3</v>
      </c>
      <c r="G69" s="3">
        <f t="shared" si="1"/>
        <v>4</v>
      </c>
    </row>
    <row r="70" spans="4:7" x14ac:dyDescent="0.25">
      <c r="D70" s="3" t="s">
        <v>71</v>
      </c>
      <c r="E70" s="3">
        <v>2</v>
      </c>
      <c r="F70" s="3">
        <v>1</v>
      </c>
      <c r="G70" s="3">
        <f t="shared" si="1"/>
        <v>1.5</v>
      </c>
    </row>
    <row r="71" spans="4:7" x14ac:dyDescent="0.25">
      <c r="D71" s="3" t="s">
        <v>72</v>
      </c>
      <c r="E71" s="3">
        <v>1</v>
      </c>
      <c r="F71" s="3">
        <v>2</v>
      </c>
      <c r="G71" s="3">
        <f t="shared" si="1"/>
        <v>1.5</v>
      </c>
    </row>
    <row r="72" spans="4:7" x14ac:dyDescent="0.25">
      <c r="D72" s="3" t="s">
        <v>73</v>
      </c>
      <c r="E72" s="3">
        <v>2</v>
      </c>
      <c r="F72" s="3">
        <v>1</v>
      </c>
      <c r="G72" s="3">
        <f t="shared" si="1"/>
        <v>1.5</v>
      </c>
    </row>
    <row r="73" spans="4:7" x14ac:dyDescent="0.25">
      <c r="D73" s="3" t="s">
        <v>74</v>
      </c>
      <c r="E73" s="3">
        <v>2</v>
      </c>
      <c r="F73" s="3">
        <v>5</v>
      </c>
      <c r="G73" s="3">
        <f t="shared" si="1"/>
        <v>3.5</v>
      </c>
    </row>
    <row r="74" spans="4:7" x14ac:dyDescent="0.25">
      <c r="D74" s="3" t="s">
        <v>75</v>
      </c>
      <c r="E74" s="3">
        <v>2</v>
      </c>
      <c r="F74" s="3">
        <v>2</v>
      </c>
      <c r="G74" s="3">
        <f t="shared" ref="G74:G137" si="2">AVERAGE(E74, F74)</f>
        <v>2</v>
      </c>
    </row>
    <row r="75" spans="4:7" x14ac:dyDescent="0.25">
      <c r="D75" s="3" t="s">
        <v>76</v>
      </c>
      <c r="E75" s="3">
        <v>2</v>
      </c>
      <c r="F75" s="3">
        <v>2</v>
      </c>
      <c r="G75" s="3">
        <f t="shared" si="2"/>
        <v>2</v>
      </c>
    </row>
    <row r="76" spans="4:7" x14ac:dyDescent="0.25">
      <c r="D76" s="3" t="s">
        <v>77</v>
      </c>
      <c r="E76" s="3">
        <v>4</v>
      </c>
      <c r="F76" s="3">
        <v>5</v>
      </c>
      <c r="G76" s="3">
        <f t="shared" si="2"/>
        <v>4.5</v>
      </c>
    </row>
    <row r="77" spans="4:7" x14ac:dyDescent="0.25">
      <c r="D77" s="3" t="s">
        <v>78</v>
      </c>
      <c r="E77" s="3">
        <v>1</v>
      </c>
      <c r="F77" s="3">
        <v>2</v>
      </c>
      <c r="G77" s="3">
        <f t="shared" si="2"/>
        <v>1.5</v>
      </c>
    </row>
    <row r="78" spans="4:7" x14ac:dyDescent="0.25">
      <c r="D78" s="3" t="s">
        <v>79</v>
      </c>
      <c r="E78" s="3">
        <v>4</v>
      </c>
      <c r="F78" s="3">
        <v>3</v>
      </c>
      <c r="G78" s="3">
        <f t="shared" si="2"/>
        <v>3.5</v>
      </c>
    </row>
    <row r="79" spans="4:7" x14ac:dyDescent="0.25">
      <c r="D79" s="3" t="s">
        <v>80</v>
      </c>
      <c r="E79" s="3">
        <v>3</v>
      </c>
      <c r="F79" s="3">
        <v>1</v>
      </c>
      <c r="G79" s="3">
        <f t="shared" si="2"/>
        <v>2</v>
      </c>
    </row>
    <row r="80" spans="4:7" x14ac:dyDescent="0.25">
      <c r="D80" s="3" t="s">
        <v>81</v>
      </c>
      <c r="E80" s="3">
        <v>1</v>
      </c>
      <c r="F80" s="3">
        <v>5</v>
      </c>
      <c r="G80" s="3">
        <f t="shared" si="2"/>
        <v>3</v>
      </c>
    </row>
    <row r="81" spans="4:7" x14ac:dyDescent="0.25">
      <c r="D81" s="3" t="s">
        <v>82</v>
      </c>
      <c r="E81" s="3">
        <v>4</v>
      </c>
      <c r="F81" s="3">
        <v>4</v>
      </c>
      <c r="G81" s="3">
        <f t="shared" si="2"/>
        <v>4</v>
      </c>
    </row>
    <row r="82" spans="4:7" x14ac:dyDescent="0.25">
      <c r="D82" s="3" t="s">
        <v>83</v>
      </c>
      <c r="E82" s="3">
        <v>5</v>
      </c>
      <c r="F82" s="3">
        <v>4</v>
      </c>
      <c r="G82" s="3">
        <f t="shared" si="2"/>
        <v>4.5</v>
      </c>
    </row>
    <row r="83" spans="4:7" x14ac:dyDescent="0.25">
      <c r="D83" s="3" t="s">
        <v>84</v>
      </c>
      <c r="E83" s="3">
        <v>3</v>
      </c>
      <c r="F83" s="3">
        <v>1</v>
      </c>
      <c r="G83" s="3">
        <f t="shared" si="2"/>
        <v>2</v>
      </c>
    </row>
    <row r="84" spans="4:7" x14ac:dyDescent="0.25">
      <c r="D84" s="3" t="s">
        <v>85</v>
      </c>
      <c r="E84" s="3">
        <v>1</v>
      </c>
      <c r="F84" s="3">
        <v>5</v>
      </c>
      <c r="G84" s="3">
        <f t="shared" si="2"/>
        <v>3</v>
      </c>
    </row>
    <row r="85" spans="4:7" x14ac:dyDescent="0.25">
      <c r="D85" s="3" t="s">
        <v>86</v>
      </c>
      <c r="E85" s="3">
        <v>5</v>
      </c>
      <c r="F85" s="3">
        <v>5</v>
      </c>
      <c r="G85" s="3">
        <f t="shared" si="2"/>
        <v>5</v>
      </c>
    </row>
    <row r="86" spans="4:7" x14ac:dyDescent="0.25">
      <c r="D86" s="3" t="s">
        <v>87</v>
      </c>
      <c r="E86" s="3">
        <v>5</v>
      </c>
      <c r="F86" s="3">
        <v>2</v>
      </c>
      <c r="G86" s="3">
        <f t="shared" si="2"/>
        <v>3.5</v>
      </c>
    </row>
    <row r="87" spans="4:7" x14ac:dyDescent="0.25">
      <c r="D87" s="3" t="s">
        <v>88</v>
      </c>
      <c r="E87" s="3">
        <v>3</v>
      </c>
      <c r="F87" s="3">
        <v>1</v>
      </c>
      <c r="G87" s="3">
        <f t="shared" si="2"/>
        <v>2</v>
      </c>
    </row>
    <row r="88" spans="4:7" x14ac:dyDescent="0.25">
      <c r="D88" s="3" t="s">
        <v>89</v>
      </c>
      <c r="E88" s="3">
        <v>5</v>
      </c>
      <c r="F88" s="3">
        <v>5</v>
      </c>
      <c r="G88" s="3">
        <f t="shared" si="2"/>
        <v>5</v>
      </c>
    </row>
    <row r="89" spans="4:7" x14ac:dyDescent="0.25">
      <c r="D89" s="3" t="s">
        <v>90</v>
      </c>
      <c r="E89" s="3">
        <v>2</v>
      </c>
      <c r="F89" s="3">
        <v>2</v>
      </c>
      <c r="G89" s="3">
        <f t="shared" si="2"/>
        <v>2</v>
      </c>
    </row>
    <row r="90" spans="4:7" x14ac:dyDescent="0.25">
      <c r="D90" s="3" t="s">
        <v>91</v>
      </c>
      <c r="E90" s="3">
        <v>4</v>
      </c>
      <c r="F90" s="3">
        <v>2</v>
      </c>
      <c r="G90" s="3">
        <f t="shared" si="2"/>
        <v>3</v>
      </c>
    </row>
    <row r="91" spans="4:7" x14ac:dyDescent="0.25">
      <c r="D91" s="3" t="s">
        <v>92</v>
      </c>
      <c r="E91" s="3">
        <v>2</v>
      </c>
      <c r="F91" s="3">
        <v>3</v>
      </c>
      <c r="G91" s="3">
        <f t="shared" si="2"/>
        <v>2.5</v>
      </c>
    </row>
    <row r="92" spans="4:7" x14ac:dyDescent="0.25">
      <c r="D92" s="3" t="s">
        <v>93</v>
      </c>
      <c r="E92" s="3">
        <v>1</v>
      </c>
      <c r="F92" s="3">
        <v>4</v>
      </c>
      <c r="G92" s="3">
        <f t="shared" si="2"/>
        <v>2.5</v>
      </c>
    </row>
    <row r="93" spans="4:7" x14ac:dyDescent="0.25">
      <c r="D93" s="3" t="s">
        <v>94</v>
      </c>
      <c r="E93" s="3">
        <v>1</v>
      </c>
      <c r="F93" s="3">
        <v>2</v>
      </c>
      <c r="G93" s="3">
        <f t="shared" si="2"/>
        <v>1.5</v>
      </c>
    </row>
    <row r="94" spans="4:7" x14ac:dyDescent="0.25">
      <c r="D94" s="3" t="s">
        <v>95</v>
      </c>
      <c r="E94" s="3">
        <v>2</v>
      </c>
      <c r="F94" s="3">
        <v>3</v>
      </c>
      <c r="G94" s="3">
        <f t="shared" si="2"/>
        <v>2.5</v>
      </c>
    </row>
    <row r="95" spans="4:7" x14ac:dyDescent="0.25">
      <c r="D95" s="3" t="s">
        <v>96</v>
      </c>
      <c r="E95" s="3">
        <v>1</v>
      </c>
      <c r="F95" s="3">
        <v>1</v>
      </c>
      <c r="G95" s="3">
        <f t="shared" si="2"/>
        <v>1</v>
      </c>
    </row>
    <row r="96" spans="4:7" x14ac:dyDescent="0.25">
      <c r="D96" s="3" t="s">
        <v>97</v>
      </c>
      <c r="E96" s="3">
        <v>3</v>
      </c>
      <c r="F96" s="3">
        <v>1</v>
      </c>
      <c r="G96" s="3">
        <f t="shared" si="2"/>
        <v>2</v>
      </c>
    </row>
    <row r="97" spans="4:7" x14ac:dyDescent="0.25">
      <c r="D97" s="3" t="s">
        <v>98</v>
      </c>
      <c r="E97" s="3">
        <v>2</v>
      </c>
      <c r="F97" s="3">
        <v>5</v>
      </c>
      <c r="G97" s="3">
        <f t="shared" si="2"/>
        <v>3.5</v>
      </c>
    </row>
    <row r="98" spans="4:7" x14ac:dyDescent="0.25">
      <c r="D98" s="3" t="s">
        <v>99</v>
      </c>
      <c r="E98" s="3">
        <v>5</v>
      </c>
      <c r="F98" s="3">
        <v>3</v>
      </c>
      <c r="G98" s="3">
        <f t="shared" si="2"/>
        <v>4</v>
      </c>
    </row>
    <row r="99" spans="4:7" x14ac:dyDescent="0.25">
      <c r="D99" s="3" t="s">
        <v>100</v>
      </c>
      <c r="E99" s="3">
        <v>2</v>
      </c>
      <c r="F99" s="3">
        <v>1</v>
      </c>
      <c r="G99" s="3">
        <f t="shared" si="2"/>
        <v>1.5</v>
      </c>
    </row>
    <row r="100" spans="4:7" x14ac:dyDescent="0.25">
      <c r="D100" s="3" t="s">
        <v>101</v>
      </c>
      <c r="E100" s="3">
        <v>3</v>
      </c>
      <c r="F100" s="3">
        <v>4</v>
      </c>
      <c r="G100" s="3">
        <f t="shared" si="2"/>
        <v>3.5</v>
      </c>
    </row>
    <row r="101" spans="4:7" x14ac:dyDescent="0.25">
      <c r="D101" s="3" t="s">
        <v>102</v>
      </c>
      <c r="E101" s="3">
        <v>2</v>
      </c>
      <c r="F101" s="3">
        <v>1</v>
      </c>
      <c r="G101" s="3">
        <f t="shared" si="2"/>
        <v>1.5</v>
      </c>
    </row>
    <row r="102" spans="4:7" x14ac:dyDescent="0.25">
      <c r="D102" s="3" t="s">
        <v>103</v>
      </c>
      <c r="E102" s="3">
        <v>2</v>
      </c>
      <c r="F102" s="3">
        <v>3</v>
      </c>
      <c r="G102" s="3">
        <f t="shared" si="2"/>
        <v>2.5</v>
      </c>
    </row>
    <row r="103" spans="4:7" x14ac:dyDescent="0.25">
      <c r="D103" s="3" t="s">
        <v>104</v>
      </c>
      <c r="E103" s="3">
        <v>3</v>
      </c>
      <c r="F103" s="3">
        <v>1</v>
      </c>
      <c r="G103" s="3">
        <f t="shared" si="2"/>
        <v>2</v>
      </c>
    </row>
    <row r="104" spans="4:7" x14ac:dyDescent="0.25">
      <c r="D104" s="3" t="s">
        <v>105</v>
      </c>
      <c r="E104" s="3">
        <v>5</v>
      </c>
      <c r="F104" s="3">
        <v>2</v>
      </c>
      <c r="G104" s="3">
        <f t="shared" si="2"/>
        <v>3.5</v>
      </c>
    </row>
    <row r="105" spans="4:7" x14ac:dyDescent="0.25">
      <c r="D105" s="3" t="s">
        <v>106</v>
      </c>
      <c r="E105" s="3">
        <v>4</v>
      </c>
      <c r="F105" s="3">
        <v>1</v>
      </c>
      <c r="G105" s="3">
        <f t="shared" si="2"/>
        <v>2.5</v>
      </c>
    </row>
    <row r="106" spans="4:7" x14ac:dyDescent="0.25">
      <c r="D106" s="3" t="s">
        <v>107</v>
      </c>
      <c r="E106" s="3">
        <v>4</v>
      </c>
      <c r="F106" s="3">
        <v>3</v>
      </c>
      <c r="G106" s="3">
        <f t="shared" si="2"/>
        <v>3.5</v>
      </c>
    </row>
    <row r="107" spans="4:7" x14ac:dyDescent="0.25">
      <c r="D107" s="3" t="s">
        <v>108</v>
      </c>
      <c r="E107" s="3">
        <v>4</v>
      </c>
      <c r="F107" s="3">
        <v>4</v>
      </c>
      <c r="G107" s="3">
        <f t="shared" si="2"/>
        <v>4</v>
      </c>
    </row>
    <row r="108" spans="4:7" x14ac:dyDescent="0.25">
      <c r="D108" s="3" t="s">
        <v>109</v>
      </c>
      <c r="E108" s="3">
        <v>4</v>
      </c>
      <c r="F108" s="3">
        <v>3</v>
      </c>
      <c r="G108" s="3">
        <f t="shared" si="2"/>
        <v>3.5</v>
      </c>
    </row>
    <row r="109" spans="4:7" x14ac:dyDescent="0.25">
      <c r="D109" s="3" t="s">
        <v>110</v>
      </c>
      <c r="E109" s="3">
        <v>5</v>
      </c>
      <c r="F109" s="3">
        <v>4</v>
      </c>
      <c r="G109" s="3">
        <f t="shared" si="2"/>
        <v>4.5</v>
      </c>
    </row>
    <row r="110" spans="4:7" x14ac:dyDescent="0.25">
      <c r="D110" s="3" t="s">
        <v>111</v>
      </c>
      <c r="E110" s="3">
        <v>4</v>
      </c>
      <c r="F110" s="3">
        <v>4</v>
      </c>
      <c r="G110" s="3">
        <f t="shared" si="2"/>
        <v>4</v>
      </c>
    </row>
    <row r="111" spans="4:7" x14ac:dyDescent="0.25">
      <c r="D111" s="3" t="s">
        <v>112</v>
      </c>
      <c r="E111" s="3">
        <v>5</v>
      </c>
      <c r="F111" s="3">
        <v>4</v>
      </c>
      <c r="G111" s="3">
        <f t="shared" si="2"/>
        <v>4.5</v>
      </c>
    </row>
    <row r="112" spans="4:7" x14ac:dyDescent="0.25">
      <c r="D112" s="3" t="s">
        <v>113</v>
      </c>
      <c r="E112" s="3">
        <v>2</v>
      </c>
      <c r="F112" s="3">
        <v>1</v>
      </c>
      <c r="G112" s="3">
        <f t="shared" si="2"/>
        <v>1.5</v>
      </c>
    </row>
    <row r="113" spans="4:7" x14ac:dyDescent="0.25">
      <c r="D113" s="3" t="s">
        <v>114</v>
      </c>
      <c r="E113" s="3">
        <v>5</v>
      </c>
      <c r="F113" s="3">
        <v>3</v>
      </c>
      <c r="G113" s="3">
        <f t="shared" si="2"/>
        <v>4</v>
      </c>
    </row>
    <row r="114" spans="4:7" x14ac:dyDescent="0.25">
      <c r="D114" s="3" t="s">
        <v>115</v>
      </c>
      <c r="E114" s="3">
        <v>3</v>
      </c>
      <c r="F114" s="3">
        <v>1</v>
      </c>
      <c r="G114" s="3">
        <f t="shared" si="2"/>
        <v>2</v>
      </c>
    </row>
    <row r="115" spans="4:7" x14ac:dyDescent="0.25">
      <c r="D115" s="3" t="s">
        <v>116</v>
      </c>
      <c r="E115" s="3">
        <v>5</v>
      </c>
      <c r="F115" s="3">
        <v>1</v>
      </c>
      <c r="G115" s="3">
        <f t="shared" si="2"/>
        <v>3</v>
      </c>
    </row>
    <row r="116" spans="4:7" x14ac:dyDescent="0.25">
      <c r="D116" s="3" t="s">
        <v>117</v>
      </c>
      <c r="E116" s="3">
        <v>1</v>
      </c>
      <c r="F116" s="3">
        <v>5</v>
      </c>
      <c r="G116" s="3">
        <f t="shared" si="2"/>
        <v>3</v>
      </c>
    </row>
    <row r="117" spans="4:7" x14ac:dyDescent="0.25">
      <c r="D117" s="3" t="s">
        <v>118</v>
      </c>
      <c r="E117" s="3">
        <v>3</v>
      </c>
      <c r="F117" s="3">
        <v>3</v>
      </c>
      <c r="G117" s="3">
        <f t="shared" si="2"/>
        <v>3</v>
      </c>
    </row>
    <row r="118" spans="4:7" x14ac:dyDescent="0.25">
      <c r="D118" s="3" t="s">
        <v>119</v>
      </c>
      <c r="E118" s="3">
        <v>1</v>
      </c>
      <c r="F118" s="3">
        <v>2</v>
      </c>
      <c r="G118" s="3">
        <f t="shared" si="2"/>
        <v>1.5</v>
      </c>
    </row>
    <row r="119" spans="4:7" x14ac:dyDescent="0.25">
      <c r="D119" s="3" t="s">
        <v>120</v>
      </c>
      <c r="E119" s="3">
        <v>1</v>
      </c>
      <c r="F119" s="3">
        <v>3</v>
      </c>
      <c r="G119" s="3">
        <f t="shared" si="2"/>
        <v>2</v>
      </c>
    </row>
    <row r="120" spans="4:7" x14ac:dyDescent="0.25">
      <c r="D120" s="3" t="s">
        <v>121</v>
      </c>
      <c r="E120" s="3">
        <v>5</v>
      </c>
      <c r="F120" s="3">
        <v>1</v>
      </c>
      <c r="G120" s="3">
        <f t="shared" si="2"/>
        <v>3</v>
      </c>
    </row>
    <row r="121" spans="4:7" x14ac:dyDescent="0.25">
      <c r="D121" s="3" t="s">
        <v>122</v>
      </c>
      <c r="E121" s="3">
        <v>4</v>
      </c>
      <c r="F121" s="3">
        <v>4</v>
      </c>
      <c r="G121" s="3">
        <f t="shared" si="2"/>
        <v>4</v>
      </c>
    </row>
    <row r="122" spans="4:7" x14ac:dyDescent="0.25">
      <c r="D122" s="3" t="s">
        <v>123</v>
      </c>
      <c r="E122" s="3">
        <v>1</v>
      </c>
      <c r="F122" s="3">
        <v>2</v>
      </c>
      <c r="G122" s="3">
        <f t="shared" si="2"/>
        <v>1.5</v>
      </c>
    </row>
    <row r="123" spans="4:7" x14ac:dyDescent="0.25">
      <c r="D123" s="3" t="s">
        <v>124</v>
      </c>
      <c r="E123" s="3">
        <v>4</v>
      </c>
      <c r="F123" s="3">
        <v>3</v>
      </c>
      <c r="G123" s="3">
        <f t="shared" si="2"/>
        <v>3.5</v>
      </c>
    </row>
    <row r="124" spans="4:7" x14ac:dyDescent="0.25">
      <c r="D124" s="3" t="s">
        <v>125</v>
      </c>
      <c r="E124" s="3">
        <v>5</v>
      </c>
      <c r="F124" s="3">
        <v>4</v>
      </c>
      <c r="G124" s="3">
        <f t="shared" si="2"/>
        <v>4.5</v>
      </c>
    </row>
    <row r="125" spans="4:7" x14ac:dyDescent="0.25">
      <c r="D125" s="3" t="s">
        <v>126</v>
      </c>
      <c r="E125" s="3">
        <v>5</v>
      </c>
      <c r="F125" s="3">
        <v>2</v>
      </c>
      <c r="G125" s="3">
        <f t="shared" si="2"/>
        <v>3.5</v>
      </c>
    </row>
    <row r="126" spans="4:7" x14ac:dyDescent="0.25">
      <c r="D126" s="3" t="s">
        <v>127</v>
      </c>
      <c r="E126" s="3">
        <v>5</v>
      </c>
      <c r="F126" s="3">
        <v>3</v>
      </c>
      <c r="G126" s="3">
        <f t="shared" si="2"/>
        <v>4</v>
      </c>
    </row>
    <row r="127" spans="4:7" x14ac:dyDescent="0.25">
      <c r="D127" s="3" t="s">
        <v>128</v>
      </c>
      <c r="E127" s="3">
        <v>1</v>
      </c>
      <c r="F127" s="3">
        <v>5</v>
      </c>
      <c r="G127" s="3">
        <f t="shared" si="2"/>
        <v>3</v>
      </c>
    </row>
    <row r="128" spans="4:7" x14ac:dyDescent="0.25">
      <c r="D128" s="3" t="s">
        <v>129</v>
      </c>
      <c r="E128" s="3">
        <v>2</v>
      </c>
      <c r="F128" s="3">
        <v>1</v>
      </c>
      <c r="G128" s="3">
        <f t="shared" si="2"/>
        <v>1.5</v>
      </c>
    </row>
    <row r="129" spans="4:7" x14ac:dyDescent="0.25">
      <c r="D129" s="3" t="s">
        <v>130</v>
      </c>
      <c r="E129" s="3">
        <v>3</v>
      </c>
      <c r="F129" s="3">
        <v>4</v>
      </c>
      <c r="G129" s="3">
        <f t="shared" si="2"/>
        <v>3.5</v>
      </c>
    </row>
    <row r="130" spans="4:7" x14ac:dyDescent="0.25">
      <c r="D130" s="3" t="s">
        <v>131</v>
      </c>
      <c r="E130" s="3">
        <v>2</v>
      </c>
      <c r="F130" s="3">
        <v>4</v>
      </c>
      <c r="G130" s="3">
        <f t="shared" si="2"/>
        <v>3</v>
      </c>
    </row>
    <row r="131" spans="4:7" x14ac:dyDescent="0.25">
      <c r="D131" s="3" t="s">
        <v>132</v>
      </c>
      <c r="E131" s="3">
        <v>1</v>
      </c>
      <c r="F131" s="3">
        <v>3</v>
      </c>
      <c r="G131" s="3">
        <f t="shared" si="2"/>
        <v>2</v>
      </c>
    </row>
    <row r="132" spans="4:7" x14ac:dyDescent="0.25">
      <c r="D132" s="3" t="s">
        <v>133</v>
      </c>
      <c r="E132" s="3">
        <v>2</v>
      </c>
      <c r="F132" s="3">
        <v>1</v>
      </c>
      <c r="G132" s="3">
        <f t="shared" si="2"/>
        <v>1.5</v>
      </c>
    </row>
    <row r="133" spans="4:7" x14ac:dyDescent="0.25">
      <c r="D133" s="3" t="s">
        <v>134</v>
      </c>
      <c r="E133" s="3">
        <v>2</v>
      </c>
      <c r="F133" s="3">
        <v>2</v>
      </c>
      <c r="G133" s="3">
        <f t="shared" si="2"/>
        <v>2</v>
      </c>
    </row>
    <row r="134" spans="4:7" x14ac:dyDescent="0.25">
      <c r="D134" s="3" t="s">
        <v>135</v>
      </c>
      <c r="E134" s="3">
        <v>3</v>
      </c>
      <c r="F134" s="3">
        <v>4</v>
      </c>
      <c r="G134" s="3">
        <f t="shared" si="2"/>
        <v>3.5</v>
      </c>
    </row>
    <row r="135" spans="4:7" x14ac:dyDescent="0.25">
      <c r="D135" s="3" t="s">
        <v>136</v>
      </c>
      <c r="E135" s="3">
        <v>4</v>
      </c>
      <c r="F135" s="3">
        <v>1</v>
      </c>
      <c r="G135" s="3">
        <f t="shared" si="2"/>
        <v>2.5</v>
      </c>
    </row>
    <row r="136" spans="4:7" x14ac:dyDescent="0.25">
      <c r="D136" s="3" t="s">
        <v>137</v>
      </c>
      <c r="E136" s="3">
        <v>4</v>
      </c>
      <c r="F136" s="3">
        <v>1</v>
      </c>
      <c r="G136" s="3">
        <f t="shared" si="2"/>
        <v>2.5</v>
      </c>
    </row>
    <row r="137" spans="4:7" x14ac:dyDescent="0.25">
      <c r="D137" s="3" t="s">
        <v>138</v>
      </c>
      <c r="E137" s="3">
        <v>2</v>
      </c>
      <c r="F137" s="3">
        <v>1</v>
      </c>
      <c r="G137" s="3">
        <f t="shared" si="2"/>
        <v>1.5</v>
      </c>
    </row>
    <row r="138" spans="4:7" x14ac:dyDescent="0.25">
      <c r="D138" s="3" t="s">
        <v>139</v>
      </c>
      <c r="E138" s="3">
        <v>1</v>
      </c>
      <c r="F138" s="3">
        <v>3</v>
      </c>
      <c r="G138" s="3">
        <f t="shared" ref="G138:G201" si="3">AVERAGE(E138, F138)</f>
        <v>2</v>
      </c>
    </row>
    <row r="139" spans="4:7" x14ac:dyDescent="0.25">
      <c r="D139" s="3" t="s">
        <v>140</v>
      </c>
      <c r="E139" s="3">
        <v>1</v>
      </c>
      <c r="F139" s="3">
        <v>5</v>
      </c>
      <c r="G139" s="3">
        <f t="shared" si="3"/>
        <v>3</v>
      </c>
    </row>
    <row r="140" spans="4:7" x14ac:dyDescent="0.25">
      <c r="D140" s="3" t="s">
        <v>141</v>
      </c>
      <c r="E140" s="3">
        <v>1</v>
      </c>
      <c r="F140" s="3">
        <v>2</v>
      </c>
      <c r="G140" s="3">
        <f t="shared" si="3"/>
        <v>1.5</v>
      </c>
    </row>
    <row r="141" spans="4:7" x14ac:dyDescent="0.25">
      <c r="D141" s="3" t="s">
        <v>142</v>
      </c>
      <c r="E141" s="3">
        <v>2</v>
      </c>
      <c r="F141" s="3">
        <v>3</v>
      </c>
      <c r="G141" s="3">
        <f t="shared" si="3"/>
        <v>2.5</v>
      </c>
    </row>
    <row r="142" spans="4:7" x14ac:dyDescent="0.25">
      <c r="D142" s="3" t="s">
        <v>143</v>
      </c>
      <c r="E142" s="3">
        <v>5</v>
      </c>
      <c r="F142" s="3">
        <v>3</v>
      </c>
      <c r="G142" s="3">
        <f t="shared" si="3"/>
        <v>4</v>
      </c>
    </row>
    <row r="143" spans="4:7" x14ac:dyDescent="0.25">
      <c r="D143" s="3" t="s">
        <v>144</v>
      </c>
      <c r="E143" s="3">
        <v>5</v>
      </c>
      <c r="F143" s="3">
        <v>4</v>
      </c>
      <c r="G143" s="3">
        <f t="shared" si="3"/>
        <v>4.5</v>
      </c>
    </row>
    <row r="144" spans="4:7" x14ac:dyDescent="0.25">
      <c r="D144" s="3" t="s">
        <v>145</v>
      </c>
      <c r="E144" s="3">
        <v>5</v>
      </c>
      <c r="F144" s="3">
        <v>1</v>
      </c>
      <c r="G144" s="3">
        <f t="shared" si="3"/>
        <v>3</v>
      </c>
    </row>
    <row r="145" spans="4:7" x14ac:dyDescent="0.25">
      <c r="D145" s="3" t="s">
        <v>146</v>
      </c>
      <c r="E145" s="3">
        <v>4</v>
      </c>
      <c r="F145" s="3">
        <v>3</v>
      </c>
      <c r="G145" s="3">
        <f t="shared" si="3"/>
        <v>3.5</v>
      </c>
    </row>
    <row r="146" spans="4:7" x14ac:dyDescent="0.25">
      <c r="D146" s="3" t="s">
        <v>147</v>
      </c>
      <c r="E146" s="3">
        <v>1</v>
      </c>
      <c r="F146" s="3">
        <v>4</v>
      </c>
      <c r="G146" s="3">
        <f t="shared" si="3"/>
        <v>2.5</v>
      </c>
    </row>
    <row r="147" spans="4:7" x14ac:dyDescent="0.25">
      <c r="D147" s="3" t="s">
        <v>148</v>
      </c>
      <c r="E147" s="3">
        <v>4</v>
      </c>
      <c r="F147" s="3">
        <v>1</v>
      </c>
      <c r="G147" s="3">
        <f t="shared" si="3"/>
        <v>2.5</v>
      </c>
    </row>
    <row r="148" spans="4:7" x14ac:dyDescent="0.25">
      <c r="D148" s="3" t="s">
        <v>149</v>
      </c>
      <c r="E148" s="3">
        <v>2</v>
      </c>
      <c r="F148" s="3">
        <v>3</v>
      </c>
      <c r="G148" s="3">
        <f t="shared" si="3"/>
        <v>2.5</v>
      </c>
    </row>
    <row r="149" spans="4:7" x14ac:dyDescent="0.25">
      <c r="D149" s="3" t="s">
        <v>150</v>
      </c>
      <c r="E149" s="3">
        <v>5</v>
      </c>
      <c r="F149" s="3">
        <v>3</v>
      </c>
      <c r="G149" s="3">
        <f t="shared" si="3"/>
        <v>4</v>
      </c>
    </row>
    <row r="150" spans="4:7" x14ac:dyDescent="0.25">
      <c r="D150" s="3" t="s">
        <v>151</v>
      </c>
      <c r="E150" s="3">
        <v>3</v>
      </c>
      <c r="F150" s="3">
        <v>3</v>
      </c>
      <c r="G150" s="3">
        <f t="shared" si="3"/>
        <v>3</v>
      </c>
    </row>
    <row r="151" spans="4:7" x14ac:dyDescent="0.25">
      <c r="D151" s="3" t="s">
        <v>152</v>
      </c>
      <c r="E151" s="3">
        <v>3</v>
      </c>
      <c r="F151" s="3">
        <v>2</v>
      </c>
      <c r="G151" s="3">
        <f t="shared" si="3"/>
        <v>2.5</v>
      </c>
    </row>
    <row r="152" spans="4:7" x14ac:dyDescent="0.25">
      <c r="D152" s="3" t="s">
        <v>153</v>
      </c>
      <c r="E152" s="3">
        <v>5</v>
      </c>
      <c r="F152" s="3">
        <v>1</v>
      </c>
      <c r="G152" s="3">
        <f t="shared" si="3"/>
        <v>3</v>
      </c>
    </row>
    <row r="153" spans="4:7" x14ac:dyDescent="0.25">
      <c r="D153" s="3" t="s">
        <v>154</v>
      </c>
      <c r="E153" s="3">
        <v>2</v>
      </c>
      <c r="F153" s="3">
        <v>3</v>
      </c>
      <c r="G153" s="3">
        <f t="shared" si="3"/>
        <v>2.5</v>
      </c>
    </row>
    <row r="154" spans="4:7" x14ac:dyDescent="0.25">
      <c r="D154" s="3" t="s">
        <v>155</v>
      </c>
      <c r="E154" s="3">
        <v>1</v>
      </c>
      <c r="F154" s="3">
        <v>5</v>
      </c>
      <c r="G154" s="3">
        <f t="shared" si="3"/>
        <v>3</v>
      </c>
    </row>
    <row r="155" spans="4:7" x14ac:dyDescent="0.25">
      <c r="D155" s="3" t="s">
        <v>156</v>
      </c>
      <c r="E155" s="3">
        <v>2</v>
      </c>
      <c r="F155" s="3">
        <v>1</v>
      </c>
      <c r="G155" s="3">
        <f t="shared" si="3"/>
        <v>1.5</v>
      </c>
    </row>
    <row r="156" spans="4:7" x14ac:dyDescent="0.25">
      <c r="D156" s="3" t="s">
        <v>157</v>
      </c>
      <c r="E156" s="3">
        <v>4</v>
      </c>
      <c r="F156" s="3">
        <v>4</v>
      </c>
      <c r="G156" s="3">
        <f t="shared" si="3"/>
        <v>4</v>
      </c>
    </row>
    <row r="157" spans="4:7" x14ac:dyDescent="0.25">
      <c r="D157" s="3" t="s">
        <v>158</v>
      </c>
      <c r="E157" s="3">
        <v>3</v>
      </c>
      <c r="F157" s="3">
        <v>5</v>
      </c>
      <c r="G157" s="3">
        <f t="shared" si="3"/>
        <v>4</v>
      </c>
    </row>
    <row r="158" spans="4:7" x14ac:dyDescent="0.25">
      <c r="D158" s="3" t="s">
        <v>159</v>
      </c>
      <c r="E158" s="3">
        <v>2</v>
      </c>
      <c r="F158" s="3">
        <v>4</v>
      </c>
      <c r="G158" s="3">
        <f t="shared" si="3"/>
        <v>3</v>
      </c>
    </row>
    <row r="159" spans="4:7" x14ac:dyDescent="0.25">
      <c r="D159" s="3" t="s">
        <v>160</v>
      </c>
      <c r="E159" s="3">
        <v>1</v>
      </c>
      <c r="F159" s="3">
        <v>5</v>
      </c>
      <c r="G159" s="3">
        <f t="shared" si="3"/>
        <v>3</v>
      </c>
    </row>
    <row r="160" spans="4:7" x14ac:dyDescent="0.25">
      <c r="D160" s="3" t="s">
        <v>161</v>
      </c>
      <c r="E160" s="3">
        <v>4</v>
      </c>
      <c r="F160" s="3">
        <v>5</v>
      </c>
      <c r="G160" s="3">
        <f t="shared" si="3"/>
        <v>4.5</v>
      </c>
    </row>
    <row r="161" spans="4:7" x14ac:dyDescent="0.25">
      <c r="D161" s="3" t="s">
        <v>162</v>
      </c>
      <c r="E161" s="3">
        <v>4</v>
      </c>
      <c r="F161" s="3">
        <v>5</v>
      </c>
      <c r="G161" s="3">
        <f t="shared" si="3"/>
        <v>4.5</v>
      </c>
    </row>
    <row r="162" spans="4:7" x14ac:dyDescent="0.25">
      <c r="D162" s="3" t="s">
        <v>163</v>
      </c>
      <c r="E162" s="3">
        <v>5</v>
      </c>
      <c r="F162" s="3">
        <v>2</v>
      </c>
      <c r="G162" s="3">
        <f t="shared" si="3"/>
        <v>3.5</v>
      </c>
    </row>
    <row r="163" spans="4:7" x14ac:dyDescent="0.25">
      <c r="D163" s="3" t="s">
        <v>164</v>
      </c>
      <c r="E163" s="3">
        <v>1</v>
      </c>
      <c r="F163" s="3">
        <v>2</v>
      </c>
      <c r="G163" s="3">
        <f t="shared" si="3"/>
        <v>1.5</v>
      </c>
    </row>
    <row r="164" spans="4:7" x14ac:dyDescent="0.25">
      <c r="D164" s="3" t="s">
        <v>165</v>
      </c>
      <c r="E164" s="3">
        <v>5</v>
      </c>
      <c r="F164" s="3">
        <v>5</v>
      </c>
      <c r="G164" s="3">
        <f t="shared" si="3"/>
        <v>5</v>
      </c>
    </row>
    <row r="165" spans="4:7" x14ac:dyDescent="0.25">
      <c r="D165" s="3" t="s">
        <v>166</v>
      </c>
      <c r="E165" s="3">
        <v>5</v>
      </c>
      <c r="F165" s="3">
        <v>3</v>
      </c>
      <c r="G165" s="3">
        <f t="shared" si="3"/>
        <v>4</v>
      </c>
    </row>
    <row r="166" spans="4:7" x14ac:dyDescent="0.25">
      <c r="D166" s="3" t="s">
        <v>167</v>
      </c>
      <c r="E166" s="3">
        <v>1</v>
      </c>
      <c r="F166" s="3">
        <v>5</v>
      </c>
      <c r="G166" s="3">
        <f t="shared" si="3"/>
        <v>3</v>
      </c>
    </row>
    <row r="167" spans="4:7" x14ac:dyDescent="0.25">
      <c r="D167" s="3" t="s">
        <v>168</v>
      </c>
      <c r="E167" s="3">
        <v>5</v>
      </c>
      <c r="F167" s="3">
        <v>3</v>
      </c>
      <c r="G167" s="3">
        <f t="shared" si="3"/>
        <v>4</v>
      </c>
    </row>
    <row r="168" spans="4:7" x14ac:dyDescent="0.25">
      <c r="D168" s="3" t="s">
        <v>169</v>
      </c>
      <c r="E168" s="3">
        <v>2</v>
      </c>
      <c r="F168" s="3">
        <v>1</v>
      </c>
      <c r="G168" s="3">
        <f t="shared" si="3"/>
        <v>1.5</v>
      </c>
    </row>
    <row r="169" spans="4:7" x14ac:dyDescent="0.25">
      <c r="D169" s="3" t="s">
        <v>170</v>
      </c>
      <c r="E169" s="3">
        <v>1</v>
      </c>
      <c r="F169" s="3">
        <v>2</v>
      </c>
      <c r="G169" s="3">
        <f t="shared" si="3"/>
        <v>1.5</v>
      </c>
    </row>
    <row r="170" spans="4:7" x14ac:dyDescent="0.25">
      <c r="D170" s="3" t="s">
        <v>171</v>
      </c>
      <c r="E170" s="3">
        <v>3</v>
      </c>
      <c r="F170" s="3">
        <v>2</v>
      </c>
      <c r="G170" s="3">
        <f t="shared" si="3"/>
        <v>2.5</v>
      </c>
    </row>
    <row r="171" spans="4:7" x14ac:dyDescent="0.25">
      <c r="D171" s="3" t="s">
        <v>172</v>
      </c>
      <c r="E171" s="3">
        <v>2</v>
      </c>
      <c r="F171" s="3">
        <v>1</v>
      </c>
      <c r="G171" s="3">
        <f t="shared" si="3"/>
        <v>1.5</v>
      </c>
    </row>
    <row r="172" spans="4:7" x14ac:dyDescent="0.25">
      <c r="D172" s="3" t="s">
        <v>173</v>
      </c>
      <c r="E172" s="3">
        <v>4</v>
      </c>
      <c r="F172" s="3">
        <v>1</v>
      </c>
      <c r="G172" s="3">
        <f t="shared" si="3"/>
        <v>2.5</v>
      </c>
    </row>
    <row r="173" spans="4:7" x14ac:dyDescent="0.25">
      <c r="D173" s="3" t="s">
        <v>174</v>
      </c>
      <c r="E173" s="3">
        <v>1</v>
      </c>
      <c r="F173" s="3">
        <v>4</v>
      </c>
      <c r="G173" s="3">
        <f t="shared" si="3"/>
        <v>2.5</v>
      </c>
    </row>
    <row r="174" spans="4:7" x14ac:dyDescent="0.25">
      <c r="D174" s="3" t="s">
        <v>175</v>
      </c>
      <c r="E174" s="3">
        <v>5</v>
      </c>
      <c r="F174" s="3">
        <v>5</v>
      </c>
      <c r="G174" s="3">
        <f t="shared" si="3"/>
        <v>5</v>
      </c>
    </row>
    <row r="175" spans="4:7" x14ac:dyDescent="0.25">
      <c r="D175" s="3" t="s">
        <v>176</v>
      </c>
      <c r="E175" s="3">
        <v>4</v>
      </c>
      <c r="F175" s="3">
        <v>4</v>
      </c>
      <c r="G175" s="3">
        <f t="shared" si="3"/>
        <v>4</v>
      </c>
    </row>
    <row r="176" spans="4:7" x14ac:dyDescent="0.25">
      <c r="D176" s="3" t="s">
        <v>177</v>
      </c>
      <c r="E176" s="3">
        <v>4</v>
      </c>
      <c r="F176" s="3">
        <v>2</v>
      </c>
      <c r="G176" s="3">
        <f t="shared" si="3"/>
        <v>3</v>
      </c>
    </row>
    <row r="177" spans="4:7" x14ac:dyDescent="0.25">
      <c r="D177" s="3" t="s">
        <v>178</v>
      </c>
      <c r="E177" s="3">
        <v>5</v>
      </c>
      <c r="F177" s="3">
        <v>2</v>
      </c>
      <c r="G177" s="3">
        <f t="shared" si="3"/>
        <v>3.5</v>
      </c>
    </row>
    <row r="178" spans="4:7" x14ac:dyDescent="0.25">
      <c r="D178" s="3" t="s">
        <v>179</v>
      </c>
      <c r="E178" s="3">
        <v>2</v>
      </c>
      <c r="F178" s="3">
        <v>2</v>
      </c>
      <c r="G178" s="3">
        <f t="shared" si="3"/>
        <v>2</v>
      </c>
    </row>
    <row r="179" spans="4:7" x14ac:dyDescent="0.25">
      <c r="D179" s="3" t="s">
        <v>180</v>
      </c>
      <c r="E179" s="3">
        <v>2</v>
      </c>
      <c r="F179" s="3">
        <v>4</v>
      </c>
      <c r="G179" s="3">
        <f t="shared" si="3"/>
        <v>3</v>
      </c>
    </row>
    <row r="180" spans="4:7" x14ac:dyDescent="0.25">
      <c r="D180" s="3" t="s">
        <v>181</v>
      </c>
      <c r="E180" s="3">
        <v>3</v>
      </c>
      <c r="F180" s="3">
        <v>1</v>
      </c>
      <c r="G180" s="3">
        <f t="shared" si="3"/>
        <v>2</v>
      </c>
    </row>
    <row r="181" spans="4:7" x14ac:dyDescent="0.25">
      <c r="D181" s="3" t="s">
        <v>182</v>
      </c>
      <c r="E181" s="3">
        <v>4</v>
      </c>
      <c r="F181" s="3">
        <v>2</v>
      </c>
      <c r="G181" s="3">
        <f t="shared" si="3"/>
        <v>3</v>
      </c>
    </row>
    <row r="182" spans="4:7" x14ac:dyDescent="0.25">
      <c r="D182" s="3" t="s">
        <v>183</v>
      </c>
      <c r="E182" s="3">
        <v>5</v>
      </c>
      <c r="F182" s="3">
        <v>1</v>
      </c>
      <c r="G182" s="3">
        <f t="shared" si="3"/>
        <v>3</v>
      </c>
    </row>
    <row r="183" spans="4:7" x14ac:dyDescent="0.25">
      <c r="D183" s="3" t="s">
        <v>184</v>
      </c>
      <c r="E183" s="3">
        <v>2</v>
      </c>
      <c r="F183" s="3">
        <v>2</v>
      </c>
      <c r="G183" s="3">
        <f t="shared" si="3"/>
        <v>2</v>
      </c>
    </row>
    <row r="184" spans="4:7" x14ac:dyDescent="0.25">
      <c r="D184" s="3" t="s">
        <v>185</v>
      </c>
      <c r="E184" s="3">
        <v>1</v>
      </c>
      <c r="F184" s="3">
        <v>3</v>
      </c>
      <c r="G184" s="3">
        <f t="shared" si="3"/>
        <v>2</v>
      </c>
    </row>
    <row r="185" spans="4:7" x14ac:dyDescent="0.25">
      <c r="D185" s="3" t="s">
        <v>186</v>
      </c>
      <c r="E185" s="3">
        <v>4</v>
      </c>
      <c r="F185" s="3">
        <v>5</v>
      </c>
      <c r="G185" s="3">
        <f t="shared" si="3"/>
        <v>4.5</v>
      </c>
    </row>
    <row r="186" spans="4:7" x14ac:dyDescent="0.25">
      <c r="D186" s="3" t="s">
        <v>187</v>
      </c>
      <c r="E186" s="3">
        <v>2</v>
      </c>
      <c r="F186" s="3">
        <v>3</v>
      </c>
      <c r="G186" s="3">
        <f t="shared" si="3"/>
        <v>2.5</v>
      </c>
    </row>
    <row r="187" spans="4:7" x14ac:dyDescent="0.25">
      <c r="D187" s="3" t="s">
        <v>188</v>
      </c>
      <c r="E187" s="3">
        <v>2</v>
      </c>
      <c r="F187" s="3">
        <v>2</v>
      </c>
      <c r="G187" s="3">
        <f t="shared" si="3"/>
        <v>2</v>
      </c>
    </row>
    <row r="188" spans="4:7" x14ac:dyDescent="0.25">
      <c r="D188" s="3" t="s">
        <v>189</v>
      </c>
      <c r="E188" s="3">
        <v>2</v>
      </c>
      <c r="F188" s="3">
        <v>3</v>
      </c>
      <c r="G188" s="3">
        <f t="shared" si="3"/>
        <v>2.5</v>
      </c>
    </row>
    <row r="189" spans="4:7" x14ac:dyDescent="0.25">
      <c r="D189" s="3" t="s">
        <v>190</v>
      </c>
      <c r="E189" s="3">
        <v>3</v>
      </c>
      <c r="F189" s="3">
        <v>3</v>
      </c>
      <c r="G189" s="3">
        <f t="shared" si="3"/>
        <v>3</v>
      </c>
    </row>
    <row r="190" spans="4:7" x14ac:dyDescent="0.25">
      <c r="D190" s="3" t="s">
        <v>191</v>
      </c>
      <c r="E190" s="3">
        <v>5</v>
      </c>
      <c r="F190" s="3">
        <v>5</v>
      </c>
      <c r="G190" s="3">
        <f t="shared" si="3"/>
        <v>5</v>
      </c>
    </row>
    <row r="191" spans="4:7" x14ac:dyDescent="0.25">
      <c r="D191" s="3" t="s">
        <v>192</v>
      </c>
      <c r="E191" s="3">
        <v>3</v>
      </c>
      <c r="F191" s="3">
        <v>2</v>
      </c>
      <c r="G191" s="3">
        <f t="shared" si="3"/>
        <v>2.5</v>
      </c>
    </row>
    <row r="192" spans="4:7" x14ac:dyDescent="0.25">
      <c r="D192" s="3" t="s">
        <v>193</v>
      </c>
      <c r="E192" s="3">
        <v>4</v>
      </c>
      <c r="F192" s="3">
        <v>2</v>
      </c>
      <c r="G192" s="3">
        <f t="shared" si="3"/>
        <v>3</v>
      </c>
    </row>
    <row r="193" spans="4:7" x14ac:dyDescent="0.25">
      <c r="D193" s="3" t="s">
        <v>194</v>
      </c>
      <c r="E193" s="3">
        <v>4</v>
      </c>
      <c r="F193" s="3">
        <v>5</v>
      </c>
      <c r="G193" s="3">
        <f t="shared" si="3"/>
        <v>4.5</v>
      </c>
    </row>
    <row r="194" spans="4:7" x14ac:dyDescent="0.25">
      <c r="D194" s="3" t="s">
        <v>195</v>
      </c>
      <c r="E194" s="3">
        <v>5</v>
      </c>
      <c r="F194" s="3">
        <v>2</v>
      </c>
      <c r="G194" s="3">
        <f t="shared" si="3"/>
        <v>3.5</v>
      </c>
    </row>
    <row r="195" spans="4:7" x14ac:dyDescent="0.25">
      <c r="D195" s="3" t="s">
        <v>196</v>
      </c>
      <c r="E195" s="3">
        <v>3</v>
      </c>
      <c r="F195" s="3">
        <v>5</v>
      </c>
      <c r="G195" s="3">
        <f t="shared" si="3"/>
        <v>4</v>
      </c>
    </row>
    <row r="196" spans="4:7" x14ac:dyDescent="0.25">
      <c r="D196" s="3" t="s">
        <v>197</v>
      </c>
      <c r="E196" s="3">
        <v>5</v>
      </c>
      <c r="F196" s="3">
        <v>5</v>
      </c>
      <c r="G196" s="3">
        <f t="shared" si="3"/>
        <v>5</v>
      </c>
    </row>
    <row r="197" spans="4:7" x14ac:dyDescent="0.25">
      <c r="D197" s="3" t="s">
        <v>198</v>
      </c>
      <c r="E197" s="3">
        <v>2</v>
      </c>
      <c r="F197" s="3">
        <v>2</v>
      </c>
      <c r="G197" s="3">
        <f t="shared" si="3"/>
        <v>2</v>
      </c>
    </row>
    <row r="198" spans="4:7" x14ac:dyDescent="0.25">
      <c r="D198" s="3" t="s">
        <v>199</v>
      </c>
      <c r="E198" s="3">
        <v>5</v>
      </c>
      <c r="F198" s="3">
        <v>4</v>
      </c>
      <c r="G198" s="3">
        <f t="shared" si="3"/>
        <v>4.5</v>
      </c>
    </row>
    <row r="199" spans="4:7" x14ac:dyDescent="0.25">
      <c r="D199" s="3" t="s">
        <v>200</v>
      </c>
      <c r="E199" s="3">
        <v>5</v>
      </c>
      <c r="F199" s="3">
        <v>1</v>
      </c>
      <c r="G199" s="3">
        <f t="shared" si="3"/>
        <v>3</v>
      </c>
    </row>
    <row r="200" spans="4:7" x14ac:dyDescent="0.25">
      <c r="D200" s="3" t="s">
        <v>201</v>
      </c>
      <c r="E200" s="3">
        <v>5</v>
      </c>
      <c r="F200" s="3">
        <v>3</v>
      </c>
      <c r="G200" s="3">
        <f t="shared" si="3"/>
        <v>4</v>
      </c>
    </row>
    <row r="201" spans="4:7" x14ac:dyDescent="0.25">
      <c r="D201" s="3" t="s">
        <v>202</v>
      </c>
      <c r="E201" s="3">
        <v>2</v>
      </c>
      <c r="F201" s="3">
        <v>2</v>
      </c>
      <c r="G201" s="3">
        <f t="shared" si="3"/>
        <v>2</v>
      </c>
    </row>
    <row r="202" spans="4:7" x14ac:dyDescent="0.25">
      <c r="D202" s="3" t="s">
        <v>203</v>
      </c>
      <c r="E202" s="3">
        <v>3</v>
      </c>
      <c r="F202" s="3">
        <v>3</v>
      </c>
      <c r="G202" s="3">
        <f t="shared" ref="G202:G203" si="4">AVERAGE(E202, F202)</f>
        <v>3</v>
      </c>
    </row>
    <row r="203" spans="4:7" x14ac:dyDescent="0.25">
      <c r="D203" s="3" t="s">
        <v>204</v>
      </c>
      <c r="E203" s="3">
        <v>3</v>
      </c>
      <c r="F203" s="3">
        <v>1</v>
      </c>
      <c r="G203" s="3">
        <f t="shared" si="4"/>
        <v>2</v>
      </c>
    </row>
    <row r="204" spans="4:7" x14ac:dyDescent="0.25">
      <c r="D204" s="3"/>
      <c r="E204" s="3"/>
      <c r="F204" s="3"/>
      <c r="G204" s="3"/>
    </row>
    <row r="205" spans="4:7" x14ac:dyDescent="0.25">
      <c r="D205" s="3"/>
      <c r="E205" s="3"/>
      <c r="F205" s="3"/>
      <c r="G205" s="3"/>
    </row>
    <row r="206" spans="4:7" x14ac:dyDescent="0.25">
      <c r="D206" s="3"/>
      <c r="E206" s="3"/>
      <c r="F206" s="3"/>
      <c r="G206" s="3"/>
    </row>
    <row r="207" spans="4:7" x14ac:dyDescent="0.25">
      <c r="D207" s="3"/>
      <c r="E207" s="3"/>
      <c r="F207" s="3"/>
      <c r="G207" s="3"/>
    </row>
    <row r="208" spans="4:7" x14ac:dyDescent="0.25">
      <c r="D208" s="3"/>
      <c r="E208" s="3"/>
      <c r="F208" s="3"/>
      <c r="G208" s="3"/>
    </row>
    <row r="209" spans="4:7" x14ac:dyDescent="0.25">
      <c r="D209" s="3"/>
      <c r="E209" s="3"/>
      <c r="F209" s="3"/>
      <c r="G209" s="3"/>
    </row>
    <row r="210" spans="4:7" x14ac:dyDescent="0.25">
      <c r="D210" s="3"/>
      <c r="E210" s="3"/>
      <c r="F210" s="3"/>
      <c r="G210" s="3"/>
    </row>
    <row r="211" spans="4:7" x14ac:dyDescent="0.25">
      <c r="D211" s="3"/>
      <c r="E211" s="3"/>
      <c r="F211" s="3"/>
      <c r="G211" s="3"/>
    </row>
    <row r="212" spans="4:7" x14ac:dyDescent="0.25">
      <c r="D212" s="3"/>
      <c r="E212" s="3"/>
      <c r="F212" s="3"/>
      <c r="G212" s="3"/>
    </row>
    <row r="213" spans="4:7" x14ac:dyDescent="0.25">
      <c r="D213" s="3"/>
      <c r="E213" s="3"/>
      <c r="F213" s="3"/>
      <c r="G213" s="3"/>
    </row>
    <row r="214" spans="4:7" x14ac:dyDescent="0.25">
      <c r="D214" s="3"/>
      <c r="E214" s="3"/>
      <c r="F214" s="3"/>
      <c r="G214" s="3"/>
    </row>
    <row r="215" spans="4:7" x14ac:dyDescent="0.25">
      <c r="D215" s="3"/>
      <c r="E215" s="3"/>
      <c r="F215" s="3"/>
      <c r="G215" s="3"/>
    </row>
    <row r="216" spans="4:7" x14ac:dyDescent="0.25">
      <c r="D216" s="3"/>
      <c r="E216" s="3"/>
      <c r="F216" s="3"/>
      <c r="G216" s="3"/>
    </row>
    <row r="217" spans="4:7" x14ac:dyDescent="0.25">
      <c r="D217" s="3"/>
      <c r="E217" s="3"/>
      <c r="F217" s="3"/>
      <c r="G217" s="3"/>
    </row>
    <row r="218" spans="4:7" x14ac:dyDescent="0.25">
      <c r="D218" s="3"/>
      <c r="E218" s="3"/>
      <c r="F218" s="3"/>
      <c r="G218" s="3"/>
    </row>
    <row r="219" spans="4:7" x14ac:dyDescent="0.25">
      <c r="D219" s="3"/>
      <c r="E219" s="3"/>
      <c r="F219" s="3"/>
      <c r="G219" s="3"/>
    </row>
    <row r="220" spans="4:7" x14ac:dyDescent="0.25">
      <c r="D220" s="3"/>
      <c r="E220" s="3"/>
      <c r="F220" s="3"/>
      <c r="G220" s="3"/>
    </row>
    <row r="221" spans="4:7" x14ac:dyDescent="0.25">
      <c r="D221" s="3"/>
      <c r="E221" s="3"/>
      <c r="F221" s="3"/>
      <c r="G221" s="3"/>
    </row>
    <row r="222" spans="4:7" x14ac:dyDescent="0.25">
      <c r="D222" s="3"/>
      <c r="E222" s="3"/>
      <c r="F222" s="3"/>
      <c r="G222" s="3"/>
    </row>
    <row r="223" spans="4:7" x14ac:dyDescent="0.25">
      <c r="D223" s="3"/>
      <c r="E223" s="3"/>
      <c r="F223" s="3"/>
      <c r="G223" s="3"/>
    </row>
    <row r="224" spans="4:7" x14ac:dyDescent="0.25">
      <c r="D224" s="3"/>
      <c r="E224" s="3"/>
      <c r="F224" s="3"/>
      <c r="G224" s="3"/>
    </row>
    <row r="225" spans="4:7" x14ac:dyDescent="0.25">
      <c r="D225" s="3"/>
      <c r="E225" s="3"/>
      <c r="F225" s="3"/>
      <c r="G225" s="3"/>
    </row>
    <row r="226" spans="4:7" x14ac:dyDescent="0.25">
      <c r="D226" s="3"/>
      <c r="E226" s="3"/>
      <c r="F226" s="3"/>
      <c r="G226" s="3"/>
    </row>
    <row r="227" spans="4:7" x14ac:dyDescent="0.25">
      <c r="D227" s="3"/>
      <c r="E227" s="3"/>
      <c r="F227" s="3"/>
      <c r="G227" s="3"/>
    </row>
    <row r="228" spans="4:7" x14ac:dyDescent="0.25">
      <c r="D228" s="3"/>
      <c r="E228" s="3"/>
      <c r="F228" s="3"/>
      <c r="G228" s="3"/>
    </row>
    <row r="229" spans="4:7" x14ac:dyDescent="0.25">
      <c r="D229" s="3"/>
      <c r="E229" s="3"/>
      <c r="F229" s="3"/>
      <c r="G229" s="3"/>
    </row>
    <row r="230" spans="4:7" x14ac:dyDescent="0.25">
      <c r="D230" s="3"/>
      <c r="E230" s="3"/>
      <c r="F230" s="3"/>
      <c r="G230" s="3"/>
    </row>
    <row r="231" spans="4:7" x14ac:dyDescent="0.25">
      <c r="D231" s="3"/>
      <c r="E231" s="3"/>
      <c r="F231" s="3"/>
      <c r="G231" s="3"/>
    </row>
    <row r="232" spans="4:7" x14ac:dyDescent="0.25">
      <c r="D232" s="3"/>
      <c r="E232" s="3"/>
      <c r="F232" s="3"/>
      <c r="G232" s="3"/>
    </row>
    <row r="233" spans="4:7" x14ac:dyDescent="0.25">
      <c r="D233" s="3"/>
      <c r="E233" s="3"/>
      <c r="F233" s="3"/>
      <c r="G233" s="3"/>
    </row>
    <row r="234" spans="4:7" x14ac:dyDescent="0.25">
      <c r="D234" s="3"/>
      <c r="E234" s="3"/>
      <c r="F234" s="3"/>
      <c r="G234" s="3"/>
    </row>
  </sheetData>
  <mergeCells count="1">
    <mergeCell ref="E1:F1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1A4B-131A-4361-961A-769AA22D2361}">
  <dimension ref="D1:I15"/>
  <sheetViews>
    <sheetView workbookViewId="0">
      <selection activeCell="F25" sqref="F25"/>
    </sheetView>
  </sheetViews>
  <sheetFormatPr defaultRowHeight="15" x14ac:dyDescent="0.25"/>
  <cols>
    <col min="4" max="4" width="7.28515625" customWidth="1"/>
    <col min="5" max="5" width="30.5703125" customWidth="1"/>
    <col min="6" max="6" width="22" customWidth="1"/>
    <col min="7" max="7" width="12.85546875" bestFit="1" customWidth="1"/>
    <col min="8" max="8" width="16.28515625" bestFit="1" customWidth="1"/>
    <col min="9" max="9" width="14.42578125" customWidth="1"/>
  </cols>
  <sheetData>
    <row r="1" spans="4:9" x14ac:dyDescent="0.25">
      <c r="D1" s="8" t="s">
        <v>206</v>
      </c>
      <c r="E1" s="10" t="s">
        <v>207</v>
      </c>
      <c r="F1" s="10" t="s">
        <v>209</v>
      </c>
      <c r="G1" s="10" t="s">
        <v>208</v>
      </c>
      <c r="H1" s="10" t="s">
        <v>210</v>
      </c>
    </row>
    <row r="2" spans="4:9" x14ac:dyDescent="0.25">
      <c r="H2" s="8"/>
    </row>
    <row r="3" spans="4:9" x14ac:dyDescent="0.25">
      <c r="D3" s="8">
        <v>1</v>
      </c>
      <c r="E3" s="8">
        <v>30360</v>
      </c>
      <c r="F3" s="11">
        <f>E3/SUM($E$3:$E$14)</f>
        <v>4.9413419096105519E-2</v>
      </c>
      <c r="G3" s="9">
        <v>7.9374925118544049E-2</v>
      </c>
      <c r="H3" s="9">
        <f>F3*G3</f>
        <v>3.9221864406046103E-3</v>
      </c>
    </row>
    <row r="4" spans="4:9" x14ac:dyDescent="0.25">
      <c r="D4" s="8">
        <v>2</v>
      </c>
      <c r="E4" s="8">
        <v>42562</v>
      </c>
      <c r="F4" s="11">
        <f t="shared" ref="F4:F14" si="0">E4/SUM($E$3:$E$14)</f>
        <v>6.927318654705017E-2</v>
      </c>
      <c r="G4" s="9">
        <v>0.77637053361425556</v>
      </c>
      <c r="H4" s="9">
        <f t="shared" ref="H4:H14" si="1">F4*G4</f>
        <v>5.378166080469321E-2</v>
      </c>
    </row>
    <row r="5" spans="4:9" x14ac:dyDescent="0.25">
      <c r="D5" s="8">
        <v>3</v>
      </c>
      <c r="E5" s="8">
        <v>27491</v>
      </c>
      <c r="F5" s="11">
        <f t="shared" si="0"/>
        <v>4.4743883543183031E-2</v>
      </c>
      <c r="G5" s="9">
        <v>0.63007902017660533</v>
      </c>
      <c r="H5" s="9">
        <f t="shared" si="1"/>
        <v>2.8192182301784899E-2</v>
      </c>
    </row>
    <row r="6" spans="4:9" x14ac:dyDescent="0.25">
      <c r="D6" s="8">
        <v>4</v>
      </c>
      <c r="E6" s="8">
        <v>66333</v>
      </c>
      <c r="F6" s="11">
        <f t="shared" si="0"/>
        <v>0.10796246142628352</v>
      </c>
      <c r="G6" s="9">
        <v>0.30384650184816708</v>
      </c>
      <c r="H6" s="9">
        <f t="shared" si="1"/>
        <v>3.2804016235293922E-2</v>
      </c>
    </row>
    <row r="7" spans="4:9" x14ac:dyDescent="0.25">
      <c r="D7" s="8">
        <v>5</v>
      </c>
      <c r="E7" s="8">
        <v>31755</v>
      </c>
      <c r="F7" s="11">
        <f t="shared" si="0"/>
        <v>5.1683897345086653E-2</v>
      </c>
      <c r="G7" s="9">
        <v>0.6574892239186173</v>
      </c>
      <c r="H7" s="9">
        <f t="shared" si="1"/>
        <v>3.3981605554510512E-2</v>
      </c>
    </row>
    <row r="8" spans="4:9" x14ac:dyDescent="0.25">
      <c r="D8" s="8">
        <v>6</v>
      </c>
      <c r="E8" s="8">
        <v>72032</v>
      </c>
      <c r="F8" s="11">
        <f t="shared" si="0"/>
        <v>0.11723805679613547</v>
      </c>
      <c r="G8" s="9">
        <v>0.5915990728449666</v>
      </c>
      <c r="H8" s="9">
        <f t="shared" si="1"/>
        <v>6.9357925702739284E-2</v>
      </c>
    </row>
    <row r="9" spans="4:9" x14ac:dyDescent="0.25">
      <c r="D9" s="8">
        <v>7</v>
      </c>
      <c r="E9" s="8">
        <v>64733</v>
      </c>
      <c r="F9" s="11">
        <f t="shared" si="0"/>
        <v>0.10535832866759548</v>
      </c>
      <c r="G9" s="9">
        <v>0.6426543242882502</v>
      </c>
      <c r="H9" s="9">
        <f t="shared" si="1"/>
        <v>6.7708985518012951E-2</v>
      </c>
    </row>
    <row r="10" spans="4:9" x14ac:dyDescent="0.25">
      <c r="D10" s="8">
        <v>8</v>
      </c>
      <c r="E10" s="8">
        <v>80143</v>
      </c>
      <c r="F10" s="11">
        <f t="shared" si="0"/>
        <v>0.13043938229970964</v>
      </c>
      <c r="G10" s="9">
        <v>6.2571938710898056E-2</v>
      </c>
      <c r="H10" s="9">
        <f t="shared" si="1"/>
        <v>8.1618450347448329E-3</v>
      </c>
    </row>
    <row r="11" spans="4:9" x14ac:dyDescent="0.25">
      <c r="D11" s="8">
        <v>9</v>
      </c>
      <c r="E11" s="8">
        <v>45347</v>
      </c>
      <c r="F11" s="11">
        <f t="shared" si="0"/>
        <v>7.380600513014153E-2</v>
      </c>
      <c r="G11" s="9">
        <v>0.62010235930423752</v>
      </c>
      <c r="H11" s="9">
        <f t="shared" si="1"/>
        <v>4.5767277912021419E-2</v>
      </c>
    </row>
    <row r="12" spans="4:9" x14ac:dyDescent="0.25">
      <c r="D12" s="8">
        <v>10</v>
      </c>
      <c r="E12" s="8">
        <v>77638</v>
      </c>
      <c r="F12" s="11">
        <f t="shared" si="0"/>
        <v>0.12636228694938867</v>
      </c>
      <c r="G12" s="9">
        <v>0.4472923637005467</v>
      </c>
      <c r="H12" s="9">
        <f t="shared" si="1"/>
        <v>5.6520886012198804E-2</v>
      </c>
    </row>
    <row r="13" spans="4:9" x14ac:dyDescent="0.25">
      <c r="D13" s="8">
        <v>11</v>
      </c>
      <c r="E13" s="8">
        <v>39239</v>
      </c>
      <c r="F13" s="11">
        <f t="shared" si="0"/>
        <v>6.3864728323849956E-2</v>
      </c>
      <c r="G13" s="9">
        <v>0.50597336907890733</v>
      </c>
      <c r="H13" s="9">
        <f t="shared" si="1"/>
        <v>3.2313851755327479E-2</v>
      </c>
    </row>
    <row r="14" spans="4:9" x14ac:dyDescent="0.25">
      <c r="D14" s="8">
        <v>12</v>
      </c>
      <c r="E14" s="8">
        <v>36775</v>
      </c>
      <c r="F14" s="11">
        <f t="shared" si="0"/>
        <v>5.9854363875470371E-2</v>
      </c>
      <c r="G14" s="9">
        <v>0.3576521788537389</v>
      </c>
      <c r="H14" s="9">
        <f t="shared" si="1"/>
        <v>2.1407043653966496E-2</v>
      </c>
    </row>
    <row r="15" spans="4:9" x14ac:dyDescent="0.25">
      <c r="D15" s="8"/>
      <c r="E15" s="8"/>
      <c r="F15" s="8"/>
      <c r="G15" s="13">
        <f>AVERAGE(G3:G14)</f>
        <v>0.47291715095481118</v>
      </c>
      <c r="H15" s="12">
        <f>SUM(H3:H14)</f>
        <v>0.45391946692589841</v>
      </c>
      <c r="I15" s="14" t="s">
        <v>211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74F04-F92E-4741-B1BF-FCCFF27F67C3}">
  <dimension ref="L3:L19"/>
  <sheetViews>
    <sheetView workbookViewId="0">
      <selection activeCell="P26" sqref="P26"/>
    </sheetView>
  </sheetViews>
  <sheetFormatPr defaultRowHeight="15" x14ac:dyDescent="0.25"/>
  <sheetData>
    <row r="3" spans="12:12" x14ac:dyDescent="0.25">
      <c r="L3" s="15">
        <f>50 + _xlfn.CONFIDENCE.NORM(0.05, 10, 25)</f>
        <v>53.919927969080106</v>
      </c>
    </row>
    <row r="4" spans="12:12" x14ac:dyDescent="0.25">
      <c r="L4" s="15">
        <f>50 - _xlfn.CONFIDENCE.NORM(0.05, 10, 25)</f>
        <v>46.080072030919894</v>
      </c>
    </row>
    <row r="7" spans="12:12" x14ac:dyDescent="0.25">
      <c r="L7" s="15">
        <f>50 + _xlfn.NORM.S.INV(1-0.05/2) * 10/SQRT(25)</f>
        <v>53.919927969080106</v>
      </c>
    </row>
    <row r="8" spans="12:12" x14ac:dyDescent="0.25">
      <c r="L8" s="15">
        <f>50 - _xlfn.NORM.S.INV(1-0.05/2) * 10/SQRT(25)</f>
        <v>46.080072030919894</v>
      </c>
    </row>
    <row r="14" spans="12:12" x14ac:dyDescent="0.25">
      <c r="L14" s="15">
        <f>2.2 + _xlfn.CONFIDENCE.NORM(0.05, 0.35, 11)</f>
        <v>2.4068329817059322</v>
      </c>
    </row>
    <row r="15" spans="12:12" x14ac:dyDescent="0.25">
      <c r="L15" s="15">
        <f>2.2 - _xlfn.CONFIDENCE.NORM(0.05, 0.35, 11)</f>
        <v>1.9931670182940682</v>
      </c>
    </row>
    <row r="18" spans="12:12" x14ac:dyDescent="0.25">
      <c r="L18" s="15">
        <f>2.2 + _xlfn.NORM.S.INV(1-0.05/2) * 0.35/SQRT(11)</f>
        <v>2.4068329817059322</v>
      </c>
    </row>
    <row r="19" spans="12:12" x14ac:dyDescent="0.25">
      <c r="L19" s="15">
        <f>2.2 - _xlfn.NORM.S.INV(1-0.05/2) * 0.35/SQRT(11)</f>
        <v>1.9931670182940682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3E85-6F75-4C64-8B7D-8A4348BB1F28}">
  <dimension ref="H8:I8"/>
  <sheetViews>
    <sheetView tabSelected="1" workbookViewId="0">
      <selection activeCell="F15" sqref="F15"/>
    </sheetView>
  </sheetViews>
  <sheetFormatPr defaultRowHeight="15" x14ac:dyDescent="0.25"/>
  <cols>
    <col min="9" max="9" width="12.42578125" customWidth="1"/>
  </cols>
  <sheetData>
    <row r="8" spans="8:9" x14ac:dyDescent="0.25">
      <c r="H8" s="2">
        <f>(_xlfn.NORM.S.INV(1 - 0.1/2) * 45 / 5) ^ 2</f>
        <v>219.14901978172821</v>
      </c>
      <c r="I8" s="2" t="s">
        <v>212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Z_Score</vt:lpstr>
      <vt:lpstr>Central_Limit_Theorem</vt:lpstr>
      <vt:lpstr>Ev Endirim Task</vt:lpstr>
      <vt:lpstr>Confidence Interval</vt:lpstr>
      <vt:lpstr>Sample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2025-07-26T08:00:55Z</dcterms:created>
  <dcterms:modified xsi:type="dcterms:W3CDTF">2025-07-26T14:39:01Z</dcterms:modified>
</cp:coreProperties>
</file>
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Handex Excel\Statistics\Season_2\Telim_13\"/>
    </mc:Choice>
  </mc:AlternateContent>
  <xr:revisionPtr revIDLastSave="0" documentId="13_ncr:1_{B1B5CEB1-E1BE-4B5F-BAC2-A10B13D0C814}" xr6:coauthVersionLast="45" xr6:coauthVersionMax="45" xr10:uidLastSave="{00000000-0000-0000-0000-000000000000}"/>
  <bookViews>
    <workbookView xWindow="-120" yWindow="-120" windowWidth="20730" windowHeight="11160" firstSheet="7" activeTab="9" xr2:uid="{CBD3159E-1E32-420D-A67E-19D799F698D6}"/>
  </bookViews>
  <sheets>
    <sheet name="Regression_Analysis" sheetId="1" r:id="rId1"/>
    <sheet name="Regression_Analysis_Model_1" sheetId="2" r:id="rId2"/>
    <sheet name="Regression Analysis Model_2" sheetId="3" r:id="rId3"/>
    <sheet name="Regression Analysis Model_3" sheetId="4" r:id="rId4"/>
    <sheet name="Regression Analysis Model_4" sheetId="5" r:id="rId5"/>
    <sheet name="Regression Analysis Model_5" sheetId="6" r:id="rId6"/>
    <sheet name="Regression Analysis Model_6_1" sheetId="7" r:id="rId7"/>
    <sheet name="Regression Analysis Model_6_2" sheetId="8" r:id="rId8"/>
    <sheet name="Regression Analysis Model_7" sheetId="10" r:id="rId9"/>
    <sheet name="Regression Analysis Model_8" sheetId="11" r:id="rId10"/>
  </sheets>
  <definedNames>
    <definedName name="df">'Regression Analysis Model_7'!$G$15</definedName>
    <definedName name="MSE">'Regression Analysis Model_8'!$I$15</definedName>
    <definedName name="MSR">'Regression Analysis Model_8'!$I$14</definedName>
    <definedName name="Resid_MS">'Regression Analysis Model_7'!$I$15</definedName>
    <definedName name="Resida_MS">'Regression Analysis Model_7'!$I$15</definedName>
    <definedName name="Residu_MS">'Regression Analysis Model_7'!$I$15</definedName>
    <definedName name="residua_MS">'Regression Analysis Model_7'!$I$15</definedName>
    <definedName name="Residua_SS">'Regression Analysis Model_7'!$H$15</definedName>
    <definedName name="Residual_S">'Regression Analysis Model_7'!$H$15</definedName>
    <definedName name="Residual_SS">'Regression Analysis Model_7'!$H$15</definedName>
    <definedName name="Residuals">'Regression Analysis Model_7'!$H$15</definedName>
    <definedName name="Residuals_SS">'Regression Analysis Model_7'!$H$15</definedName>
    <definedName name="SSX">'Regression Analysis Model_7'!$D$16</definedName>
    <definedName name="Standard_Error">'Regression Analysis Model_7'!$H$9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9" i="11" l="1"/>
  <c r="J9" i="11"/>
  <c r="K12" i="11"/>
  <c r="J12" i="11"/>
  <c r="I9" i="10" l="1"/>
  <c r="H9" i="10"/>
  <c r="H21" i="10" s="1"/>
  <c r="N23" i="10"/>
  <c r="D16" i="10"/>
  <c r="C17" i="10"/>
  <c r="C18" i="10"/>
  <c r="C19" i="10"/>
  <c r="C20" i="10"/>
  <c r="C21" i="10"/>
  <c r="C22" i="10"/>
  <c r="C23" i="10"/>
  <c r="C24" i="10"/>
  <c r="C25" i="10"/>
  <c r="C16" i="10"/>
  <c r="I9" i="6" l="1"/>
  <c r="H9" i="6"/>
  <c r="H7" i="6"/>
  <c r="H20" i="4" l="1" a="1"/>
  <c r="H20" i="4" s="1"/>
  <c r="G17" i="4" a="1"/>
  <c r="G17" i="4" s="1"/>
  <c r="G8" i="4" a="1"/>
  <c r="G8" i="4" s="1"/>
  <c r="H3" i="4"/>
  <c r="H6" i="4" s="1"/>
  <c r="H21" i="4" l="1"/>
  <c r="G18" i="4"/>
  <c r="L9" i="4"/>
  <c r="N8" i="4"/>
  <c r="J8" i="4"/>
  <c r="O9" i="4"/>
  <c r="K9" i="4"/>
  <c r="G9" i="4"/>
  <c r="M8" i="4"/>
  <c r="I8" i="4"/>
  <c r="N9" i="4"/>
  <c r="L8" i="4"/>
  <c r="H8" i="4"/>
  <c r="P9" i="4"/>
  <c r="H9" i="4"/>
  <c r="J9" i="4"/>
  <c r="P8" i="4"/>
  <c r="M9" i="4"/>
  <c r="I9" i="4"/>
  <c r="O8" i="4"/>
  <c r="K8" i="4"/>
  <c r="G11" i="4" a="1"/>
  <c r="H12" i="4" s="1"/>
  <c r="H11" i="4" l="1"/>
  <c r="G12" i="4"/>
  <c r="G11" i="4"/>
  <c r="G14" i="4" s="1" a="1"/>
  <c r="G14" i="4" s="1"/>
  <c r="H14" i="4" l="1"/>
  <c r="H15" i="4"/>
  <c r="G15" i="4"/>
  <c r="K15" i="3" l="1" a="1"/>
  <c r="K15" i="3" s="1"/>
  <c r="J12" i="3" a="1"/>
  <c r="J12" i="3" s="1"/>
  <c r="J9" i="3" a="1"/>
  <c r="J9" i="3" s="1"/>
  <c r="J6" i="3" a="1"/>
  <c r="J6" i="3" s="1"/>
  <c r="J3" i="3" a="1"/>
  <c r="J3" i="3"/>
  <c r="K3" i="3"/>
  <c r="L3" i="3"/>
  <c r="M3" i="3"/>
  <c r="N3" i="3"/>
  <c r="O3" i="3"/>
  <c r="P3" i="3"/>
  <c r="Q3" i="3"/>
  <c r="J4" i="3"/>
  <c r="K4" i="3"/>
  <c r="L4" i="3"/>
  <c r="M4" i="3"/>
  <c r="N4" i="3"/>
  <c r="O4" i="3"/>
  <c r="P4" i="3"/>
  <c r="Q4" i="3"/>
  <c r="K16" i="3" l="1"/>
  <c r="J13" i="3"/>
  <c r="J10" i="3"/>
  <c r="K9" i="3"/>
  <c r="K10" i="3"/>
  <c r="K7" i="3"/>
  <c r="J7" i="3"/>
  <c r="K6" i="3"/>
  <c r="G4" i="2"/>
  <c r="G5" i="2"/>
  <c r="G6" i="2"/>
  <c r="G7" i="2"/>
  <c r="G8" i="2"/>
  <c r="G9" i="2"/>
  <c r="G10" i="2"/>
  <c r="G3" i="2"/>
  <c r="I4" i="2" l="1"/>
  <c r="I12" i="2" s="1"/>
  <c r="F15" i="2" s="1"/>
  <c r="H15" i="2" s="1"/>
  <c r="I5" i="2"/>
  <c r="I6" i="2"/>
  <c r="I7" i="2"/>
  <c r="I8" i="2"/>
  <c r="I9" i="2"/>
  <c r="I10" i="2"/>
  <c r="I3" i="2"/>
  <c r="H12" i="2"/>
  <c r="H4" i="2"/>
  <c r="H5" i="2"/>
  <c r="H6" i="2"/>
  <c r="H7" i="2"/>
  <c r="H8" i="2"/>
  <c r="H9" i="2"/>
  <c r="H10" i="2"/>
  <c r="H3" i="2"/>
  <c r="F12" i="2"/>
  <c r="E12" i="2"/>
</calcChain>
</file>

<file path=xl/sharedStrings.xml><?xml version="1.0" encoding="utf-8"?>
<sst xmlns="http://schemas.openxmlformats.org/spreadsheetml/2006/main" count="235" uniqueCount="69">
  <si>
    <t>January</t>
  </si>
  <si>
    <t>February</t>
  </si>
  <si>
    <t>March</t>
  </si>
  <si>
    <t>April</t>
  </si>
  <si>
    <t>May</t>
  </si>
  <si>
    <t>June</t>
  </si>
  <si>
    <t>July</t>
  </si>
  <si>
    <t>August</t>
  </si>
  <si>
    <t>Xərc</t>
  </si>
  <si>
    <t>Gəlir</t>
  </si>
  <si>
    <t>(X - X_orta) * (Y- Y_orta)</t>
  </si>
  <si>
    <t>COVARİANCE</t>
  </si>
  <si>
    <t>Mean</t>
  </si>
  <si>
    <t>(X - X_orta)</t>
  </si>
  <si>
    <t>VARIANCE</t>
  </si>
  <si>
    <t>B_1</t>
  </si>
  <si>
    <t>B_0</t>
  </si>
  <si>
    <t>Proqnoz Xərc         B_0 + B_1 * X</t>
  </si>
  <si>
    <t>Regression Analysis</t>
  </si>
  <si>
    <t>Regression Analysis Model Kanonik Method</t>
  </si>
  <si>
    <t>Unique Vector</t>
  </si>
  <si>
    <t>X^T</t>
  </si>
  <si>
    <t>X^T * X</t>
  </si>
  <si>
    <t>(X^T * X)^-1</t>
  </si>
  <si>
    <t>X^T * y</t>
  </si>
  <si>
    <t>(X^T * X)^-1 *  X^T * y</t>
  </si>
  <si>
    <t>Regression Analysis Model Formula Method</t>
  </si>
  <si>
    <t>Square Feet (X)</t>
  </si>
  <si>
    <t>House Price in $1000s (Y)</t>
  </si>
  <si>
    <t xml:space="preserve">Regression Analysis Model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</si>
  <si>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</si>
  <si>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</si>
  <si>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</si>
  <si>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</si>
  <si>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</si>
  <si>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</si>
  <si>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</si>
  <si>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</si>
  <si>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</si>
  <si>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</si>
  <si>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</si>
  <si>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</si>
  <si>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</si>
  <si>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</si>
  <si>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</si>
  <si>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</si>
  <si>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</si>
  <si>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</si>
  <si>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</si>
  <si>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</si>
  <si>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</si>
  <si>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</si>
  <si>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</si>
  <si>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</si>
  <si>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Regression Analysis Model Formula and Kanonik Method</t>
  </si>
  <si>
    <t>not in</t>
  </si>
  <si>
    <t>range(199 : 405)</t>
  </si>
  <si>
    <t>RESIDUAL OUTPUT</t>
  </si>
  <si>
    <t>Observation</t>
  </si>
  <si>
    <t>Predicted House Price in $1000s (Y)</t>
  </si>
  <si>
    <t>Residuals</t>
  </si>
  <si>
    <t>Standard Residuals</t>
  </si>
  <si>
    <t>PROBABILITY OUTPUT</t>
  </si>
  <si>
    <t>Percentile</t>
  </si>
  <si>
    <t>SSX</t>
  </si>
  <si>
    <t>t_alfa/2</t>
  </si>
  <si>
    <t>F_alfa</t>
  </si>
  <si>
    <t>Modelin yaxşı və ya pis olduğunu təsbit edir</t>
  </si>
  <si>
    <t>Regression Analysis Model F Test for Significance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</si>
</sst>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89" formatCode="0.0000000000000000000000000"/>
  </numFmts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2F333F"/>
      <name val="Nunito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4" fillId="0" borderId="0" xfId="0" applyFont="1"/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0" xfId="0" applyFill="1" applyBorder="1" applyAlignment="1"/>
    <xf numFmtId="0" fontId="0" fillId="0" borderId="19" xfId="0" applyFill="1" applyBorder="1" applyAlignment="1"/>
    <xf numFmtId="0" fontId="5" fillId="0" borderId="20" xfId="0" applyFont="1" applyFill="1" applyBorder="1" applyAlignment="1">
      <alignment horizontal="center"/>
    </xf>
    <xf numFmtId="0" fontId="5" fillId="0" borderId="20" xfId="0" applyFont="1" applyFill="1" applyBorder="1" applyAlignment="1">
      <alignment horizontal="centerContinuous"/>
    </xf>
    <xf numFmtId="0" fontId="0" fillId="8" borderId="0" xfId="0" applyFill="1"/>
    <xf numFmtId="0" fontId="0" fillId="8" borderId="0" xfId="0" applyFill="1" applyBorder="1" applyAlignment="1"/>
    <xf numFmtId="0" fontId="0" fillId="8" borderId="19" xfId="0" applyFill="1" applyBorder="1" applyAlignment="1"/>
    <xf numFmtId="0" fontId="0" fillId="3" borderId="0" xfId="0" applyFill="1"/>
    <xf numFmtId="0" fontId="0" fillId="3" borderId="0" xfId="0" applyFill="1" applyBorder="1" applyAlignment="1"/>
    <xf numFmtId="0" fontId="0" fillId="9" borderId="0" xfId="0" applyFill="1"/>
    <xf numFmtId="0" fontId="0" fillId="9" borderId="0" xfId="0" applyFill="1" applyBorder="1" applyAlignment="1"/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89" fontId="0" fillId="0" borderId="0" xfId="0" applyNumberFormat="1"/>
    <xf numFmtId="0" fontId="0" fillId="0" borderId="21" xfId="0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10" borderId="0" xfId="0" applyFill="1"/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11" borderId="0" xfId="0" applyFill="1" applyAlignment="1">
      <alignment horizontal="center" vertical="center"/>
    </xf>
    <xf numFmtId="0" fontId="0" fillId="11" borderId="19" xfId="0" applyFill="1" applyBorder="1" applyAlignment="1"/>
    <xf numFmtId="0" fontId="0" fillId="12" borderId="0" xfId="0" applyFill="1"/>
    <xf numFmtId="0" fontId="0" fillId="11" borderId="0" xfId="0" applyFill="1" applyAlignment="1">
      <alignment horizontal="center"/>
    </xf>
    <xf numFmtId="0" fontId="0" fillId="11" borderId="0" xfId="0" applyFill="1" applyBorder="1" applyAlignment="1"/>
    <xf numFmtId="0" fontId="0" fillId="9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" fillId="8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Regression_Analysis!$F$2</c:f>
              <c:strCache>
                <c:ptCount val="1"/>
                <c:pt idx="0">
                  <c:v>Xərc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60325" cap="rnd" cmpd="sng">
                <a:solidFill>
                  <a:schemeClr val="accent2">
                    <a:lumMod val="75000"/>
                    <a:alpha val="98000"/>
                  </a:scheme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317169728783901"/>
                  <c:y val="-0.269227544473607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Regression_Analysis!$E$3:$E$10</c:f>
              <c:numCache>
                <c:formatCode>General</c:formatCode>
                <c:ptCount val="8"/>
                <c:pt idx="0">
                  <c:v>1500</c:v>
                </c:pt>
                <c:pt idx="1">
                  <c:v>1600</c:v>
                </c:pt>
                <c:pt idx="2">
                  <c:v>1550</c:v>
                </c:pt>
                <c:pt idx="3">
                  <c:v>1400</c:v>
                </c:pt>
                <c:pt idx="4">
                  <c:v>1500</c:v>
                </c:pt>
                <c:pt idx="5">
                  <c:v>1600</c:v>
                </c:pt>
                <c:pt idx="6">
                  <c:v>1480</c:v>
                </c:pt>
                <c:pt idx="7">
                  <c:v>1520</c:v>
                </c:pt>
              </c:numCache>
            </c:numRef>
          </c:xVal>
          <c:yVal>
            <c:numRef>
              <c:f>Regression_Analysis!$F$3:$F$10</c:f>
              <c:numCache>
                <c:formatCode>General</c:formatCode>
                <c:ptCount val="8"/>
                <c:pt idx="0">
                  <c:v>1200</c:v>
                </c:pt>
                <c:pt idx="1">
                  <c:v>700</c:v>
                </c:pt>
                <c:pt idx="2">
                  <c:v>1500</c:v>
                </c:pt>
                <c:pt idx="3">
                  <c:v>690</c:v>
                </c:pt>
                <c:pt idx="4">
                  <c:v>750</c:v>
                </c:pt>
                <c:pt idx="5">
                  <c:v>1450</c:v>
                </c:pt>
                <c:pt idx="6">
                  <c:v>200</c:v>
                </c:pt>
                <c:pt idx="7">
                  <c:v>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A7-4B85-B14C-A9FBFC59D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059535"/>
        <c:axId val="931950031"/>
      </c:scatterChart>
      <c:valAx>
        <c:axId val="99205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950031"/>
        <c:crosses val="autoZero"/>
        <c:crossBetween val="midCat"/>
      </c:valAx>
      <c:valAx>
        <c:axId val="931950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05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Regression_Analysis_Model_1!$F$2</c:f>
              <c:strCache>
                <c:ptCount val="1"/>
                <c:pt idx="0">
                  <c:v>Xərc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Regression_Analysis_Model_1!$E$3:$E$10</c:f>
              <c:numCache>
                <c:formatCode>General</c:formatCode>
                <c:ptCount val="8"/>
                <c:pt idx="0">
                  <c:v>1500</c:v>
                </c:pt>
                <c:pt idx="1">
                  <c:v>1600</c:v>
                </c:pt>
                <c:pt idx="2">
                  <c:v>1550</c:v>
                </c:pt>
                <c:pt idx="3">
                  <c:v>1400</c:v>
                </c:pt>
                <c:pt idx="4">
                  <c:v>1500</c:v>
                </c:pt>
                <c:pt idx="5">
                  <c:v>1600</c:v>
                </c:pt>
                <c:pt idx="6">
                  <c:v>1480</c:v>
                </c:pt>
                <c:pt idx="7">
                  <c:v>1520</c:v>
                </c:pt>
              </c:numCache>
            </c:numRef>
          </c:xVal>
          <c:yVal>
            <c:numRef>
              <c:f>Regression_Analysis_Model_1!$F$3:$F$10</c:f>
              <c:numCache>
                <c:formatCode>General</c:formatCode>
                <c:ptCount val="8"/>
                <c:pt idx="0">
                  <c:v>1200</c:v>
                </c:pt>
                <c:pt idx="1">
                  <c:v>700</c:v>
                </c:pt>
                <c:pt idx="2">
                  <c:v>1500</c:v>
                </c:pt>
                <c:pt idx="3">
                  <c:v>690</c:v>
                </c:pt>
                <c:pt idx="4">
                  <c:v>750</c:v>
                </c:pt>
                <c:pt idx="5">
                  <c:v>1450</c:v>
                </c:pt>
                <c:pt idx="6">
                  <c:v>200</c:v>
                </c:pt>
                <c:pt idx="7">
                  <c:v>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04-4C2C-90A5-8428BAF7B737}"/>
            </c:ext>
          </c:extLst>
        </c:ser>
        <c:ser>
          <c:idx val="1"/>
          <c:order val="1"/>
          <c:tx>
            <c:strRef>
              <c:f>Regression_Analysis_Model_1!$G$2</c:f>
              <c:strCache>
                <c:ptCount val="1"/>
                <c:pt idx="0">
                  <c:v>Proqnoz Xərc         B_0 + B_1 * X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marker>
          <c:xVal>
            <c:numRef>
              <c:f>Regression_Analysis_Model_1!$E$3:$E$10</c:f>
              <c:numCache>
                <c:formatCode>General</c:formatCode>
                <c:ptCount val="8"/>
                <c:pt idx="0">
                  <c:v>1500</c:v>
                </c:pt>
                <c:pt idx="1">
                  <c:v>1600</c:v>
                </c:pt>
                <c:pt idx="2">
                  <c:v>1550</c:v>
                </c:pt>
                <c:pt idx="3">
                  <c:v>1400</c:v>
                </c:pt>
                <c:pt idx="4">
                  <c:v>1500</c:v>
                </c:pt>
                <c:pt idx="5">
                  <c:v>1600</c:v>
                </c:pt>
                <c:pt idx="6">
                  <c:v>1480</c:v>
                </c:pt>
                <c:pt idx="7">
                  <c:v>1520</c:v>
                </c:pt>
              </c:numCache>
            </c:numRef>
          </c:xVal>
          <c:yVal>
            <c:numRef>
              <c:f>Regression_Analysis_Model_1!$G$3:$G$10</c:f>
              <c:numCache>
                <c:formatCode>General</c:formatCode>
                <c:ptCount val="8"/>
                <c:pt idx="0">
                  <c:v>837.1094710947109</c:v>
                </c:pt>
                <c:pt idx="1">
                  <c:v>1152.5256252562522</c:v>
                </c:pt>
                <c:pt idx="2">
                  <c:v>994.81754817548153</c:v>
                </c:pt>
                <c:pt idx="3">
                  <c:v>521.69331693316872</c:v>
                </c:pt>
                <c:pt idx="4">
                  <c:v>837.1094710947109</c:v>
                </c:pt>
                <c:pt idx="5">
                  <c:v>1152.5256252562522</c:v>
                </c:pt>
                <c:pt idx="6">
                  <c:v>774.0262402624021</c:v>
                </c:pt>
                <c:pt idx="7">
                  <c:v>900.19270192701879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04-4C2C-90A5-8428BAF7B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059535"/>
        <c:axId val="931950031"/>
      </c:scatterChart>
      <c:valAx>
        <c:axId val="99205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950031"/>
        <c:crosses val="autoZero"/>
        <c:crossBetween val="midCat"/>
      </c:valAx>
      <c:valAx>
        <c:axId val="931950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05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Square Feet (X)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 Analysis Model_6_1'!$C$4:$C$13</c:f>
              <c:numCache>
                <c:formatCode>General</c:formatCode>
                <c:ptCount val="10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1875</c:v>
                </c:pt>
                <c:pt idx="4">
                  <c:v>1100</c:v>
                </c:pt>
                <c:pt idx="5">
                  <c:v>1550</c:v>
                </c:pt>
                <c:pt idx="6">
                  <c:v>2350</c:v>
                </c:pt>
                <c:pt idx="7">
                  <c:v>2450</c:v>
                </c:pt>
                <c:pt idx="8">
                  <c:v>1425</c:v>
                </c:pt>
                <c:pt idx="9">
                  <c:v>1700</c:v>
                </c:pt>
              </c:numCache>
            </c:numRef>
          </c:xVal>
          <c:yVal>
            <c:numRef>
              <c:f>'Regression Analysis Model_6_1'!$H$27:$H$36</c:f>
              <c:numCache>
                <c:formatCode>General</c:formatCode>
                <c:ptCount val="10"/>
                <c:pt idx="0">
                  <c:v>-6.9231625835189163</c:v>
                </c:pt>
                <c:pt idx="1">
                  <c:v>38.123289850461333</c:v>
                </c:pt>
                <c:pt idx="2">
                  <c:v>-5.8534839325484995</c:v>
                </c:pt>
                <c:pt idx="3">
                  <c:v>3.9371619471842223</c:v>
                </c:pt>
                <c:pt idx="4">
                  <c:v>-19.992841234489333</c:v>
                </c:pt>
                <c:pt idx="5">
                  <c:v>-49.388323258033722</c:v>
                </c:pt>
                <c:pt idx="6">
                  <c:v>48.797486477887389</c:v>
                </c:pt>
                <c:pt idx="7">
                  <c:v>-43.1792873051225</c:v>
                </c:pt>
                <c:pt idx="8">
                  <c:v>64.332643970728611</c:v>
                </c:pt>
                <c:pt idx="9">
                  <c:v>-29.8534839325485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35-4CA6-BCD7-3A3747939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623679"/>
        <c:axId val="408808687"/>
      </c:scatterChart>
      <c:valAx>
        <c:axId val="408623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Square Feet (X)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8808687"/>
        <c:crosses val="autoZero"/>
        <c:crossBetween val="midCat"/>
      </c:valAx>
      <c:valAx>
        <c:axId val="4088086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862367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Square Feet (X)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House Price in $1000s (Y)</c:v>
          </c:tx>
          <c:spPr>
            <a:ln w="19050">
              <a:noFill/>
            </a:ln>
          </c:spPr>
          <c:xVal>
            <c:numRef>
              <c:f>'Regression Analysis Model_6_1'!$C$4:$C$13</c:f>
              <c:numCache>
                <c:formatCode>General</c:formatCode>
                <c:ptCount val="10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1875</c:v>
                </c:pt>
                <c:pt idx="4">
                  <c:v>1100</c:v>
                </c:pt>
                <c:pt idx="5">
                  <c:v>1550</c:v>
                </c:pt>
                <c:pt idx="6">
                  <c:v>2350</c:v>
                </c:pt>
                <c:pt idx="7">
                  <c:v>2450</c:v>
                </c:pt>
                <c:pt idx="8">
                  <c:v>1425</c:v>
                </c:pt>
                <c:pt idx="9">
                  <c:v>1700</c:v>
                </c:pt>
              </c:numCache>
            </c:numRef>
          </c:xVal>
          <c:yVal>
            <c:numRef>
              <c:f>'Regression Analysis Model_6_1'!$D$4:$D$13</c:f>
              <c:numCache>
                <c:formatCode>General</c:formatCode>
                <c:ptCount val="10"/>
                <c:pt idx="0">
                  <c:v>245</c:v>
                </c:pt>
                <c:pt idx="1">
                  <c:v>312</c:v>
                </c:pt>
                <c:pt idx="2">
                  <c:v>279</c:v>
                </c:pt>
                <c:pt idx="3">
                  <c:v>308</c:v>
                </c:pt>
                <c:pt idx="4">
                  <c:v>199</c:v>
                </c:pt>
                <c:pt idx="5">
                  <c:v>219</c:v>
                </c:pt>
                <c:pt idx="6">
                  <c:v>405</c:v>
                </c:pt>
                <c:pt idx="7">
                  <c:v>324</c:v>
                </c:pt>
                <c:pt idx="8">
                  <c:v>319</c:v>
                </c:pt>
                <c:pt idx="9">
                  <c:v>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84-45F4-9817-CC4BD3FBFC75}"/>
            </c:ext>
          </c:extLst>
        </c:ser>
        <c:ser>
          <c:idx val="1"/>
          <c:order val="1"/>
          <c:tx>
            <c:v>Predicted House Price in $1000s (Y)</c:v>
          </c:tx>
          <c:spPr>
            <a:ln w="19050">
              <a:solidFill>
                <a:schemeClr val="accent1"/>
              </a:solidFill>
            </a:ln>
          </c:spPr>
          <c:xVal>
            <c:numRef>
              <c:f>'Regression Analysis Model_6_1'!$C$4:$C$13</c:f>
              <c:numCache>
                <c:formatCode>General</c:formatCode>
                <c:ptCount val="10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1875</c:v>
                </c:pt>
                <c:pt idx="4">
                  <c:v>1100</c:v>
                </c:pt>
                <c:pt idx="5">
                  <c:v>1550</c:v>
                </c:pt>
                <c:pt idx="6">
                  <c:v>2350</c:v>
                </c:pt>
                <c:pt idx="7">
                  <c:v>2450</c:v>
                </c:pt>
                <c:pt idx="8">
                  <c:v>1425</c:v>
                </c:pt>
                <c:pt idx="9">
                  <c:v>1700</c:v>
                </c:pt>
              </c:numCache>
            </c:numRef>
          </c:xVal>
          <c:yVal>
            <c:numRef>
              <c:f>'Regression Analysis Model_6_1'!$G$27:$G$36</c:f>
              <c:numCache>
                <c:formatCode>General</c:formatCode>
                <c:ptCount val="10"/>
                <c:pt idx="0">
                  <c:v>251.92316258351892</c:v>
                </c:pt>
                <c:pt idx="1">
                  <c:v>273.87671014953867</c:v>
                </c:pt>
                <c:pt idx="2">
                  <c:v>284.8534839325485</c:v>
                </c:pt>
                <c:pt idx="3">
                  <c:v>304.06283805281578</c:v>
                </c:pt>
                <c:pt idx="4">
                  <c:v>218.99284123448933</c:v>
                </c:pt>
                <c:pt idx="5">
                  <c:v>268.38832325803372</c:v>
                </c:pt>
                <c:pt idx="6">
                  <c:v>356.20251352211261</c:v>
                </c:pt>
                <c:pt idx="7">
                  <c:v>367.1792873051225</c:v>
                </c:pt>
                <c:pt idx="8">
                  <c:v>254.66735602927139</c:v>
                </c:pt>
                <c:pt idx="9">
                  <c:v>284.8534839325485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4-45F4-9817-CC4BD3FBF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628479"/>
        <c:axId val="408806607"/>
      </c:scatterChart>
      <c:valAx>
        <c:axId val="408628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Square Feet (X)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8806607"/>
        <c:crosses val="autoZero"/>
        <c:crossBetween val="midCat"/>
      </c:valAx>
      <c:valAx>
        <c:axId val="4088066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House Price in $1000s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86284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'Regression Analysis Model_6_1'!$K$27:$K$36</c:f>
              <c:numCache>
                <c:formatCode>General</c:formatCode>
                <c:ptCount val="10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85</c:v>
                </c:pt>
                <c:pt idx="9">
                  <c:v>95</c:v>
                </c:pt>
              </c:numCache>
            </c:numRef>
          </c:xVal>
          <c:yVal>
            <c:numRef>
              <c:f>'Regression Analysis Model_6_1'!$L$27:$L$36</c:f>
              <c:numCache>
                <c:formatCode>General</c:formatCode>
                <c:ptCount val="10"/>
                <c:pt idx="0">
                  <c:v>199</c:v>
                </c:pt>
                <c:pt idx="1">
                  <c:v>219</c:v>
                </c:pt>
                <c:pt idx="2">
                  <c:v>245</c:v>
                </c:pt>
                <c:pt idx="3">
                  <c:v>255</c:v>
                </c:pt>
                <c:pt idx="4">
                  <c:v>279</c:v>
                </c:pt>
                <c:pt idx="5">
                  <c:v>308</c:v>
                </c:pt>
                <c:pt idx="6">
                  <c:v>312</c:v>
                </c:pt>
                <c:pt idx="7">
                  <c:v>319</c:v>
                </c:pt>
                <c:pt idx="8">
                  <c:v>324</c:v>
                </c:pt>
                <c:pt idx="9">
                  <c:v>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DB-4754-8754-7FCD6125C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623679"/>
        <c:axId val="408828239"/>
      </c:scatterChart>
      <c:valAx>
        <c:axId val="408623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8828239"/>
        <c:crosses val="autoZero"/>
        <c:crossBetween val="midCat"/>
      </c:valAx>
      <c:valAx>
        <c:axId val="4088282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House Price in $1000s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862367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4.png"/><Relationship Id="rId7" Type="http://schemas.openxmlformats.org/officeDocument/2006/relationships/image" Target="../media/image16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10" Type="http://schemas.openxmlformats.org/officeDocument/2006/relationships/image" Target="../media/image5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1</xdr:row>
      <xdr:rowOff>190500</xdr:rowOff>
    </xdr:from>
    <xdr:to>
      <xdr:col>15</xdr:col>
      <xdr:colOff>38100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5D1AF-E7DA-46DA-8246-9F2B60F2F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2</xdr:row>
      <xdr:rowOff>47625</xdr:rowOff>
    </xdr:from>
    <xdr:to>
      <xdr:col>17</xdr:col>
      <xdr:colOff>114300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D478E5-5F95-4878-867D-1B738B312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133351</xdr:colOff>
      <xdr:row>17</xdr:row>
      <xdr:rowOff>85725</xdr:rowOff>
    </xdr:from>
    <xdr:to>
      <xdr:col>11</xdr:col>
      <xdr:colOff>308446</xdr:colOff>
      <xdr:row>19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8BD9AA5-201B-4400-97C7-706DF5448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0776" y="3571875"/>
          <a:ext cx="2127720" cy="333375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15</xdr:row>
      <xdr:rowOff>57150</xdr:rowOff>
    </xdr:from>
    <xdr:to>
      <xdr:col>6</xdr:col>
      <xdr:colOff>876005</xdr:colOff>
      <xdr:row>18</xdr:row>
      <xdr:rowOff>161840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D1807B6-CED8-46C4-BB6C-1CF13E5CF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0275" y="3162300"/>
          <a:ext cx="2361905" cy="6761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15</xdr:row>
      <xdr:rowOff>47625</xdr:rowOff>
    </xdr:from>
    <xdr:to>
      <xdr:col>8</xdr:col>
      <xdr:colOff>56979</xdr:colOff>
      <xdr:row>17</xdr:row>
      <xdr:rowOff>47577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D551BB-018A-4C00-AD57-2780516C6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52975" y="3152775"/>
          <a:ext cx="1371429" cy="3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476252</xdr:colOff>
      <xdr:row>9</xdr:row>
      <xdr:rowOff>190501</xdr:rowOff>
    </xdr:from>
    <xdr:to>
      <xdr:col>7</xdr:col>
      <xdr:colOff>58270</xdr:colOff>
      <xdr:row>10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2E9ABEB-C305-4E31-8811-2D3EB2DA0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8077" y="2143126"/>
          <a:ext cx="972668" cy="1523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409575</xdr:colOff>
      <xdr:row>12</xdr:row>
      <xdr:rowOff>19050</xdr:rowOff>
    </xdr:from>
    <xdr:to>
      <xdr:col>5</xdr:col>
      <xdr:colOff>251113</xdr:colOff>
      <xdr:row>14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C30B53-B411-406F-AB36-52C7E9B26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" y="2390775"/>
          <a:ext cx="1994188" cy="46672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14</xdr:row>
      <xdr:rowOff>57150</xdr:rowOff>
    </xdr:from>
    <xdr:to>
      <xdr:col>6</xdr:col>
      <xdr:colOff>75881</xdr:colOff>
      <xdr:row>20</xdr:row>
      <xdr:rowOff>161769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09ED87-6B73-4A45-A075-68F6671EA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4950" y="2809875"/>
          <a:ext cx="2552381" cy="1247619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4</xdr:row>
      <xdr:rowOff>19049</xdr:rowOff>
    </xdr:from>
    <xdr:to>
      <xdr:col>17</xdr:col>
      <xdr:colOff>14719</xdr:colOff>
      <xdr:row>5</xdr:row>
      <xdr:rowOff>85724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01C1B16-D404-476C-82FF-ED17664DC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86900" y="857249"/>
          <a:ext cx="1776844" cy="257175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5</xdr:row>
      <xdr:rowOff>85724</xdr:rowOff>
    </xdr:from>
    <xdr:to>
      <xdr:col>14</xdr:col>
      <xdr:colOff>0</xdr:colOff>
      <xdr:row>6</xdr:row>
      <xdr:rowOff>139257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C5D3B7F-DEBB-4801-89F9-20B5EAD06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67625" y="1114424"/>
          <a:ext cx="1752600" cy="244033"/>
        </a:xfrm>
        <a:prstGeom prst="rect">
          <a:avLst/>
        </a:prstGeom>
      </xdr:spPr>
    </xdr:pic>
    <xdr:clientData/>
  </xdr:twoCellAnchor>
  <xdr:twoCellAnchor editAs="oneCell">
    <xdr:from>
      <xdr:col>11</xdr:col>
      <xdr:colOff>9524</xdr:colOff>
      <xdr:row>8</xdr:row>
      <xdr:rowOff>76200</xdr:rowOff>
    </xdr:from>
    <xdr:to>
      <xdr:col>14</xdr:col>
      <xdr:colOff>142875</xdr:colOff>
      <xdr:row>9</xdr:row>
      <xdr:rowOff>116541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B25B859-B457-4788-84C0-B484ADA15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00949" y="1676400"/>
          <a:ext cx="1962151" cy="230841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66674</xdr:colOff>
      <xdr:row>11</xdr:row>
      <xdr:rowOff>95250</xdr:rowOff>
    </xdr:from>
    <xdr:to>
      <xdr:col>13</xdr:col>
      <xdr:colOff>67727</xdr:colOff>
      <xdr:row>12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2BC35BB-913A-49E3-B841-1FBF5ECF2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7999" y="2276475"/>
          <a:ext cx="2020353" cy="219075"/>
        </a:xfrm>
        <a:prstGeom prst="rect">
          <a:avLst/>
        </a:prstGeom>
      </xdr:spPr>
    </xdr:pic>
    <xdr:clientData/>
  </xdr:twoCellAnchor>
  <xdr:twoCellAnchor editAs="oneCell">
    <xdr:from>
      <xdr:col>11</xdr:col>
      <xdr:colOff>19049</xdr:colOff>
      <xdr:row>14</xdr:row>
      <xdr:rowOff>47624</xdr:rowOff>
    </xdr:from>
    <xdr:to>
      <xdr:col>14</xdr:col>
      <xdr:colOff>195879</xdr:colOff>
      <xdr:row>15</xdr:row>
      <xdr:rowOff>133349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438D029-BE9C-46E6-A606-96EC1176A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43899" y="2800349"/>
          <a:ext cx="2005630" cy="276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990600</xdr:colOff>
      <xdr:row>2</xdr:row>
      <xdr:rowOff>38100</xdr:rowOff>
    </xdr:from>
    <xdr:to>
      <xdr:col>6</xdr:col>
      <xdr:colOff>400050</xdr:colOff>
      <xdr:row>4</xdr:row>
      <xdr:rowOff>89829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19422D-31BE-41C9-8FD6-C6306EAB4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4475" y="485775"/>
          <a:ext cx="1114425" cy="432729"/>
        </a:xfrm>
        <a:prstGeom prst="rect">
          <a:avLst/>
        </a:prstGeom>
      </xdr:spPr>
    </xdr:pic>
    <xdr:clientData/>
  </xdr:twoCellAnchor>
  <xdr:twoCellAnchor editAs="oneCell">
    <xdr:from>
      <xdr:col>5</xdr:col>
      <xdr:colOff>885826</xdr:colOff>
      <xdr:row>4</xdr:row>
      <xdr:rowOff>152401</xdr:rowOff>
    </xdr:from>
    <xdr:to>
      <xdr:col>6</xdr:col>
      <xdr:colOff>533400</xdr:colOff>
      <xdr:row>6</xdr:row>
      <xdr:rowOff>48212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419ED5-2B85-46DD-A6E0-E290A5DD5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701" y="981076"/>
          <a:ext cx="1352549" cy="276811"/>
        </a:xfrm>
        <a:prstGeom prst="rect">
          <a:avLst/>
        </a:prstGeom>
      </xdr:spPr>
    </xdr:pic>
    <xdr:clientData/>
  </xdr:twoCellAnchor>
  <xdr:twoCellAnchor>
    <xdr:from>
      <xdr:col>8</xdr:col>
      <xdr:colOff>19049</xdr:colOff>
      <xdr:row>2</xdr:row>
      <xdr:rowOff>76200</xdr:rowOff>
    </xdr:from>
    <xdr:to>
      <xdr:col>12</xdr:col>
      <xdr:colOff>485774</xdr:colOff>
      <xdr:row>3</xdr:row>
      <xdr:rowOff>85725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330F5E95-8B46-47C3-8F04-C5DFEBEE4A95}"/>
            </a:ext>
          </a:extLst>
        </xdr:cNvPr>
        <xdr:cNvSpPr txBox="1">
          <a:spLocks noChangeArrowheads="1"/>
        </xdr:cNvSpPr>
      </xdr:nvSpPr>
      <xdr:spPr bwMode="auto">
        <a:xfrm>
          <a:off x="7477124" y="523875"/>
          <a:ext cx="290512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=COVARIANCE.P(C3:C12, D3:D12) / VAR.P(C3:C12)</a:t>
          </a:r>
        </a:p>
      </xdr:txBody>
    </xdr:sp>
    <xdr:clientData/>
  </xdr:twoCellAnchor>
  <xdr:twoCellAnchor editAs="oneCell">
    <xdr:from>
      <xdr:col>11</xdr:col>
      <xdr:colOff>295275</xdr:colOff>
      <xdr:row>13</xdr:row>
      <xdr:rowOff>142875</xdr:rowOff>
    </xdr:from>
    <xdr:to>
      <xdr:col>15</xdr:col>
      <xdr:colOff>352425</xdr:colOff>
      <xdr:row>16</xdr:row>
      <xdr:rowOff>193540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84B4ED-8902-4469-9513-1E9B81031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82150" y="2762250"/>
          <a:ext cx="2495550" cy="584065"/>
        </a:xfrm>
        <a:prstGeom prst="rect">
          <a:avLst/>
        </a:prstGeom>
      </xdr:spPr>
    </xdr:pic>
    <xdr:clientData/>
  </xdr:twoCellAnchor>
  <xdr:twoCellAnchor editAs="oneCell">
    <xdr:from>
      <xdr:col>12</xdr:col>
      <xdr:colOff>485775</xdr:colOff>
      <xdr:row>9</xdr:row>
      <xdr:rowOff>171450</xdr:rowOff>
    </xdr:from>
    <xdr:to>
      <xdr:col>15</xdr:col>
      <xdr:colOff>489587</xdr:colOff>
      <xdr:row>10</xdr:row>
      <xdr:rowOff>228600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68443A-4171-4E04-AB06-ECD7047CF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82250" y="2047875"/>
          <a:ext cx="1832612" cy="2476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10</xdr:row>
      <xdr:rowOff>123824</xdr:rowOff>
    </xdr:from>
    <xdr:to>
      <xdr:col>10</xdr:col>
      <xdr:colOff>602934</xdr:colOff>
      <xdr:row>11</xdr:row>
      <xdr:rowOff>104774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C61BA6-329A-441D-8C87-AEED52C08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86650" y="2190749"/>
          <a:ext cx="1774509" cy="21907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13</xdr:row>
      <xdr:rowOff>123824</xdr:rowOff>
    </xdr:from>
    <xdr:to>
      <xdr:col>10</xdr:col>
      <xdr:colOff>504826</xdr:colOff>
      <xdr:row>14</xdr:row>
      <xdr:rowOff>113527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7E2DD6C-8B09-48F0-B6A9-68975932B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48575" y="2743199"/>
          <a:ext cx="1685926" cy="227828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16</xdr:row>
      <xdr:rowOff>95248</xdr:rowOff>
    </xdr:from>
    <xdr:to>
      <xdr:col>10</xdr:col>
      <xdr:colOff>37611</xdr:colOff>
      <xdr:row>17</xdr:row>
      <xdr:rowOff>85724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D01FE55-A16C-4FA7-9A06-CCA674214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05600" y="3248023"/>
          <a:ext cx="2009286" cy="228601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19</xdr:row>
      <xdr:rowOff>85724</xdr:rowOff>
    </xdr:from>
    <xdr:to>
      <xdr:col>11</xdr:col>
      <xdr:colOff>407195</xdr:colOff>
      <xdr:row>20</xdr:row>
      <xdr:rowOff>133349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4BE62E-4BF7-4359-9D0A-D4E318FD8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67599" y="3771899"/>
          <a:ext cx="2226471" cy="238125"/>
        </a:xfrm>
        <a:prstGeom prst="rect">
          <a:avLst/>
        </a:prstGeom>
      </xdr:spPr>
    </xdr:pic>
    <xdr:clientData/>
  </xdr:twoCellAnchor>
  <xdr:twoCellAnchor>
    <xdr:from>
      <xdr:col>4</xdr:col>
      <xdr:colOff>19049</xdr:colOff>
      <xdr:row>6</xdr:row>
      <xdr:rowOff>59056</xdr:rowOff>
    </xdr:from>
    <xdr:to>
      <xdr:col>22</xdr:col>
      <xdr:colOff>542924</xdr:colOff>
      <xdr:row>6</xdr:row>
      <xdr:rowOff>133350</xdr:rowOff>
    </xdr:to>
    <xdr:sp macro="" textlink="">
      <xdr:nvSpPr>
        <xdr:cNvPr id="10" name="Arrow: Chevron 9">
          <a:extLst>
            <a:ext uri="{FF2B5EF4-FFF2-40B4-BE49-F238E27FC236}">
              <a16:creationId xmlns:a16="http://schemas.microsoft.com/office/drawing/2014/main" id="{6E68C7FC-DC63-445E-8E68-F41FDCB4E50E}"/>
            </a:ext>
          </a:extLst>
        </xdr:cNvPr>
        <xdr:cNvSpPr/>
      </xdr:nvSpPr>
      <xdr:spPr>
        <a:xfrm>
          <a:off x="4086224" y="1268731"/>
          <a:ext cx="12449175" cy="74294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47624</xdr:colOff>
      <xdr:row>4</xdr:row>
      <xdr:rowOff>171449</xdr:rowOff>
    </xdr:from>
    <xdr:to>
      <xdr:col>12</xdr:col>
      <xdr:colOff>209549</xdr:colOff>
      <xdr:row>6</xdr:row>
      <xdr:rowOff>9525</xdr:rowOff>
    </xdr:to>
    <xdr:sp macro="" textlink="">
      <xdr:nvSpPr>
        <xdr:cNvPr id="4098" name="Text Box 2">
          <a:extLst>
            <a:ext uri="{FF2B5EF4-FFF2-40B4-BE49-F238E27FC236}">
              <a16:creationId xmlns:a16="http://schemas.microsoft.com/office/drawing/2014/main" id="{54F52097-7A9B-4E24-BBD3-BC291C0D7A7D}"/>
            </a:ext>
          </a:extLst>
        </xdr:cNvPr>
        <xdr:cNvSpPr txBox="1">
          <a:spLocks noChangeArrowheads="1"/>
        </xdr:cNvSpPr>
      </xdr:nvSpPr>
      <xdr:spPr bwMode="auto">
        <a:xfrm>
          <a:off x="7505699" y="1000124"/>
          <a:ext cx="2600325" cy="2190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=AVERAGE(D3:D12) - H3 * AVERAGE(C3:C12)</a:t>
          </a:r>
        </a:p>
      </xdr:txBody>
    </xdr:sp>
    <xdr:clientData/>
  </xdr:twoCellAnchor>
  <xdr:twoCellAnchor editAs="oneCell">
    <xdr:from>
      <xdr:col>2</xdr:col>
      <xdr:colOff>657226</xdr:colOff>
      <xdr:row>14</xdr:row>
      <xdr:rowOff>76200</xdr:rowOff>
    </xdr:from>
    <xdr:to>
      <xdr:col>4</xdr:col>
      <xdr:colOff>85725</xdr:colOff>
      <xdr:row>20</xdr:row>
      <xdr:rowOff>170363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DF50D93-205C-42D6-819F-9D43D816E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00276" y="2933700"/>
          <a:ext cx="1952624" cy="1113338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14</xdr:row>
      <xdr:rowOff>133351</xdr:rowOff>
    </xdr:from>
    <xdr:to>
      <xdr:col>2</xdr:col>
      <xdr:colOff>684420</xdr:colOff>
      <xdr:row>20</xdr:row>
      <xdr:rowOff>123826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54DF154-255B-4880-8EEA-8AE813C19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1926" y="2990851"/>
          <a:ext cx="2065544" cy="100965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10</xdr:col>
      <xdr:colOff>57150</xdr:colOff>
      <xdr:row>31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921CD04D-01F2-48D4-8F74-0E3926F44B58}"/>
            </a:ext>
          </a:extLst>
        </xdr:cNvPr>
        <xdr:cNvSpPr txBox="1">
          <a:spLocks noChangeArrowheads="1"/>
        </xdr:cNvSpPr>
      </xdr:nvSpPr>
      <xdr:spPr bwMode="auto">
        <a:xfrm>
          <a:off x="8067675" y="5400675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=Standard_Error/SSX</a:t>
          </a:r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10</xdr:col>
      <xdr:colOff>57150</xdr:colOff>
      <xdr:row>31</xdr:row>
      <xdr:rowOff>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8A1F633F-76F6-469D-8FB0-2A1C1C874FB8}"/>
            </a:ext>
          </a:extLst>
        </xdr:cNvPr>
        <xdr:cNvSpPr txBox="1">
          <a:spLocks noChangeArrowheads="1"/>
        </xdr:cNvSpPr>
      </xdr:nvSpPr>
      <xdr:spPr bwMode="auto">
        <a:xfrm>
          <a:off x="8067675" y="5400675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=Standard_Error/SSX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76200</xdr:rowOff>
    </xdr:from>
    <xdr:to>
      <xdr:col>6</xdr:col>
      <xdr:colOff>542925</xdr:colOff>
      <xdr:row>13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536A78-A4DA-4E36-A252-C18E859D3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600075</xdr:colOff>
      <xdr:row>0</xdr:row>
      <xdr:rowOff>76200</xdr:rowOff>
    </xdr:from>
    <xdr:to>
      <xdr:col>13</xdr:col>
      <xdr:colOff>390525</xdr:colOff>
      <xdr:row>13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E741D1-B455-48B8-8343-BE12BD5BD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428624</xdr:colOff>
      <xdr:row>0</xdr:row>
      <xdr:rowOff>66674</xdr:rowOff>
    </xdr:from>
    <xdr:to>
      <xdr:col>20</xdr:col>
      <xdr:colOff>200025</xdr:colOff>
      <xdr:row>13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346E8E-756C-4321-9F20-1A6FFF74C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733425</xdr:colOff>
      <xdr:row>21</xdr:row>
      <xdr:rowOff>57150</xdr:rowOff>
    </xdr:from>
    <xdr:to>
      <xdr:col>8</xdr:col>
      <xdr:colOff>85725</xdr:colOff>
      <xdr:row>22</xdr:row>
      <xdr:rowOff>95250</xdr:rowOff>
    </xdr:to>
    <xdr:sp macro="" textlink="">
      <xdr:nvSpPr>
        <xdr:cNvPr id="10249" name="Text Box 9">
          <a:extLst>
            <a:ext uri="{FF2B5EF4-FFF2-40B4-BE49-F238E27FC236}">
              <a16:creationId xmlns:a16="http://schemas.microsoft.com/office/drawing/2014/main" id="{5B04E324-B175-48A6-ACAA-1781634D33B2}"/>
            </a:ext>
          </a:extLst>
        </xdr:cNvPr>
        <xdr:cNvSpPr txBox="1">
          <a:spLocks noChangeArrowheads="1"/>
        </xdr:cNvSpPr>
      </xdr:nvSpPr>
      <xdr:spPr bwMode="auto">
        <a:xfrm>
          <a:off x="5391150" y="3876675"/>
          <a:ext cx="125730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=Standard_Error/SSX</a:t>
          </a:r>
        </a:p>
      </xdr:txBody>
    </xdr:sp>
    <xdr:clientData/>
  </xdr:twoCellAnchor>
  <xdr:twoCellAnchor>
    <xdr:from>
      <xdr:col>2</xdr:col>
      <xdr:colOff>800099</xdr:colOff>
      <xdr:row>16</xdr:row>
      <xdr:rowOff>171450</xdr:rowOff>
    </xdr:from>
    <xdr:to>
      <xdr:col>4</xdr:col>
      <xdr:colOff>152400</xdr:colOff>
      <xdr:row>18</xdr:row>
      <xdr:rowOff>47625</xdr:rowOff>
    </xdr:to>
    <xdr:sp macro="" textlink="">
      <xdr:nvSpPr>
        <xdr:cNvPr id="10252" name="Text Box 12">
          <a:extLst>
            <a:ext uri="{FF2B5EF4-FFF2-40B4-BE49-F238E27FC236}">
              <a16:creationId xmlns:a16="http://schemas.microsoft.com/office/drawing/2014/main" id="{EFCA2AF8-1FBD-484E-A5E7-7FDEAEBCFB96}"/>
            </a:ext>
          </a:extLst>
        </xdr:cNvPr>
        <xdr:cNvSpPr txBox="1">
          <a:spLocks noChangeArrowheads="1"/>
        </xdr:cNvSpPr>
      </xdr:nvSpPr>
      <xdr:spPr bwMode="auto">
        <a:xfrm>
          <a:off x="1666874" y="3352800"/>
          <a:ext cx="1885951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=(C4-AVERAGE($C$4:$C$13))^2</a:t>
          </a:r>
        </a:p>
      </xdr:txBody>
    </xdr:sp>
    <xdr:clientData/>
  </xdr:twoCellAnchor>
  <xdr:twoCellAnchor>
    <xdr:from>
      <xdr:col>3</xdr:col>
      <xdr:colOff>47625</xdr:colOff>
      <xdr:row>18</xdr:row>
      <xdr:rowOff>95250</xdr:rowOff>
    </xdr:from>
    <xdr:to>
      <xdr:col>3</xdr:col>
      <xdr:colOff>1362075</xdr:colOff>
      <xdr:row>19</xdr:row>
      <xdr:rowOff>133350</xdr:rowOff>
    </xdr:to>
    <xdr:sp macro="" textlink="">
      <xdr:nvSpPr>
        <xdr:cNvPr id="10253" name="Text Box 13">
          <a:extLst>
            <a:ext uri="{FF2B5EF4-FFF2-40B4-BE49-F238E27FC236}">
              <a16:creationId xmlns:a16="http://schemas.microsoft.com/office/drawing/2014/main" id="{9439A0C4-9A09-4A86-8F28-5EC30100CCDB}"/>
            </a:ext>
          </a:extLst>
        </xdr:cNvPr>
        <xdr:cNvSpPr txBox="1">
          <a:spLocks noChangeArrowheads="1"/>
        </xdr:cNvSpPr>
      </xdr:nvSpPr>
      <xdr:spPr bwMode="auto">
        <a:xfrm>
          <a:off x="1895475" y="3667125"/>
          <a:ext cx="131445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=SQRT(SUM(C16:C25))</a:t>
          </a:r>
        </a:p>
      </xdr:txBody>
    </xdr:sp>
    <xdr:clientData/>
  </xdr:twoCellAnchor>
  <xdr:twoCellAnchor editAs="oneCell">
    <xdr:from>
      <xdr:col>9</xdr:col>
      <xdr:colOff>361950</xdr:colOff>
      <xdr:row>20</xdr:row>
      <xdr:rowOff>123825</xdr:rowOff>
    </xdr:from>
    <xdr:to>
      <xdr:col>11</xdr:col>
      <xdr:colOff>780759</xdr:colOff>
      <xdr:row>23</xdr:row>
      <xdr:rowOff>76135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A41DDB-BBCE-4EE9-AF2A-B2F43A940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7175" y="3752850"/>
          <a:ext cx="2323809" cy="523810"/>
        </a:xfrm>
        <a:prstGeom prst="rect">
          <a:avLst/>
        </a:prstGeom>
      </xdr:spPr>
    </xdr:pic>
    <xdr:clientData/>
  </xdr:twoCellAnchor>
  <xdr:twoCellAnchor editAs="oneCell">
    <xdr:from>
      <xdr:col>8</xdr:col>
      <xdr:colOff>295275</xdr:colOff>
      <xdr:row>21</xdr:row>
      <xdr:rowOff>28575</xdr:rowOff>
    </xdr:from>
    <xdr:to>
      <xdr:col>8</xdr:col>
      <xdr:colOff>771525</xdr:colOff>
      <xdr:row>23</xdr:row>
      <xdr:rowOff>51353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883C60-BB5F-4A9D-BEF5-7FB07C4FE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0" y="3848100"/>
          <a:ext cx="476250" cy="403778"/>
        </a:xfrm>
        <a:prstGeom prst="rect">
          <a:avLst/>
        </a:prstGeom>
      </xdr:spPr>
    </xdr:pic>
    <xdr:clientData/>
  </xdr:twoCellAnchor>
  <xdr:twoCellAnchor editAs="oneCell">
    <xdr:from>
      <xdr:col>8</xdr:col>
      <xdr:colOff>790575</xdr:colOff>
      <xdr:row>21</xdr:row>
      <xdr:rowOff>19050</xdr:rowOff>
    </xdr:from>
    <xdr:to>
      <xdr:col>9</xdr:col>
      <xdr:colOff>238125</xdr:colOff>
      <xdr:row>23</xdr:row>
      <xdr:rowOff>8829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507E85B-741D-4F0B-AA68-58C59F532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53300" y="3838575"/>
          <a:ext cx="400050" cy="370779"/>
        </a:xfrm>
        <a:prstGeom prst="rect">
          <a:avLst/>
        </a:prstGeom>
      </xdr:spPr>
    </xdr:pic>
    <xdr:clientData/>
  </xdr:twoCellAnchor>
  <xdr:twoCellAnchor>
    <xdr:from>
      <xdr:col>8</xdr:col>
      <xdr:colOff>590550</xdr:colOff>
      <xdr:row>19</xdr:row>
      <xdr:rowOff>190500</xdr:rowOff>
    </xdr:from>
    <xdr:to>
      <xdr:col>9</xdr:col>
      <xdr:colOff>466725</xdr:colOff>
      <xdr:row>21</xdr:row>
      <xdr:rowOff>57150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C99A776-7DB6-46C6-AD79-8064ABC35DDD}"/>
            </a:ext>
          </a:extLst>
        </xdr:cNvPr>
        <xdr:cNvCxnSpPr/>
      </xdr:nvCxnSpPr>
      <xdr:spPr>
        <a:xfrm>
          <a:off x="7153275" y="3619500"/>
          <a:ext cx="828675" cy="2571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676275</xdr:colOff>
      <xdr:row>19</xdr:row>
      <xdr:rowOff>142875</xdr:rowOff>
    </xdr:from>
    <xdr:to>
      <xdr:col>8</xdr:col>
      <xdr:colOff>866775</xdr:colOff>
      <xdr:row>21</xdr:row>
      <xdr:rowOff>28575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F73C120-E153-4385-ACD2-C7A23CEDEF0A}"/>
            </a:ext>
          </a:extLst>
        </xdr:cNvPr>
        <xdr:cNvCxnSpPr/>
      </xdr:nvCxnSpPr>
      <xdr:spPr>
        <a:xfrm>
          <a:off x="6334125" y="3505200"/>
          <a:ext cx="1143000" cy="2762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9526</xdr:colOff>
      <xdr:row>21</xdr:row>
      <xdr:rowOff>104775</xdr:rowOff>
    </xdr:from>
    <xdr:to>
      <xdr:col>12</xdr:col>
      <xdr:colOff>822048</xdr:colOff>
      <xdr:row>22</xdr:row>
      <xdr:rowOff>85725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A7639A7-15C3-4EF9-8D8A-37309CEB1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29876" y="3857625"/>
          <a:ext cx="812522" cy="171450"/>
        </a:xfrm>
        <a:prstGeom prst="rect">
          <a:avLst/>
        </a:prstGeom>
      </xdr:spPr>
    </xdr:pic>
    <xdr:clientData/>
  </xdr:twoCellAnchor>
  <xdr:twoCellAnchor>
    <xdr:from>
      <xdr:col>11</xdr:col>
      <xdr:colOff>200025</xdr:colOff>
      <xdr:row>21</xdr:row>
      <xdr:rowOff>28575</xdr:rowOff>
    </xdr:from>
    <xdr:to>
      <xdr:col>12</xdr:col>
      <xdr:colOff>142876</xdr:colOff>
      <xdr:row>21</xdr:row>
      <xdr:rowOff>38100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DB829E37-99D1-4D7B-81A4-C0B2B5565CAE}"/>
            </a:ext>
          </a:extLst>
        </xdr:cNvPr>
        <xdr:cNvCxnSpPr/>
      </xdr:nvCxnSpPr>
      <xdr:spPr>
        <a:xfrm flipH="1">
          <a:off x="9620250" y="3848100"/>
          <a:ext cx="895351" cy="95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390525</xdr:colOff>
      <xdr:row>22</xdr:row>
      <xdr:rowOff>161925</xdr:rowOff>
    </xdr:from>
    <xdr:to>
      <xdr:col>8</xdr:col>
      <xdr:colOff>314325</xdr:colOff>
      <xdr:row>22</xdr:row>
      <xdr:rowOff>161925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DF71C30C-C4CB-4CBB-9D98-2BD3AE81B4E4}"/>
            </a:ext>
          </a:extLst>
        </xdr:cNvPr>
        <xdr:cNvCxnSpPr/>
      </xdr:nvCxnSpPr>
      <xdr:spPr>
        <a:xfrm>
          <a:off x="5095875" y="4105275"/>
          <a:ext cx="18288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66674</xdr:colOff>
      <xdr:row>9</xdr:row>
      <xdr:rowOff>19050</xdr:rowOff>
    </xdr:from>
    <xdr:to>
      <xdr:col>8</xdr:col>
      <xdr:colOff>419099</xdr:colOff>
      <xdr:row>10</xdr:row>
      <xdr:rowOff>95250</xdr:rowOff>
    </xdr:to>
    <xdr:sp macro="" textlink="">
      <xdr:nvSpPr>
        <xdr:cNvPr id="10254" name="Text Box 14">
          <a:extLst>
            <a:ext uri="{FF2B5EF4-FFF2-40B4-BE49-F238E27FC236}">
              <a16:creationId xmlns:a16="http://schemas.microsoft.com/office/drawing/2014/main" id="{07256503-7B0B-4A8F-94B9-91C9C68088D9}"/>
            </a:ext>
          </a:extLst>
        </xdr:cNvPr>
        <xdr:cNvSpPr txBox="1">
          <a:spLocks noChangeArrowheads="1"/>
        </xdr:cNvSpPr>
      </xdr:nvSpPr>
      <xdr:spPr bwMode="auto">
        <a:xfrm>
          <a:off x="5724524" y="1514475"/>
          <a:ext cx="1304925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=SQRT(Residua_SS/df)</a:t>
          </a:r>
        </a:p>
      </xdr:txBody>
    </xdr:sp>
    <xdr:clientData/>
  </xdr:twoCellAnchor>
  <xdr:twoCellAnchor>
    <xdr:from>
      <xdr:col>8</xdr:col>
      <xdr:colOff>466725</xdr:colOff>
      <xdr:row>9</xdr:row>
      <xdr:rowOff>28575</xdr:rowOff>
    </xdr:from>
    <xdr:to>
      <xdr:col>9</xdr:col>
      <xdr:colOff>581025</xdr:colOff>
      <xdr:row>10</xdr:row>
      <xdr:rowOff>95250</xdr:rowOff>
    </xdr:to>
    <xdr:sp macro="" textlink="">
      <xdr:nvSpPr>
        <xdr:cNvPr id="10255" name="Text Box 15">
          <a:extLst>
            <a:ext uri="{FF2B5EF4-FFF2-40B4-BE49-F238E27FC236}">
              <a16:creationId xmlns:a16="http://schemas.microsoft.com/office/drawing/2014/main" id="{FF0AB836-A868-4745-A5CE-ED10A77CF829}"/>
            </a:ext>
          </a:extLst>
        </xdr:cNvPr>
        <xdr:cNvSpPr txBox="1">
          <a:spLocks noChangeArrowheads="1"/>
        </xdr:cNvSpPr>
      </xdr:nvSpPr>
      <xdr:spPr bwMode="auto">
        <a:xfrm>
          <a:off x="7077075" y="1524000"/>
          <a:ext cx="1066800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=SQRT(Resid_MS)</a:t>
          </a:r>
        </a:p>
      </xdr:txBody>
    </xdr:sp>
    <xdr:clientData/>
  </xdr:twoCellAnchor>
  <xdr:twoCellAnchor>
    <xdr:from>
      <xdr:col>6</xdr:col>
      <xdr:colOff>381000</xdr:colOff>
      <xdr:row>19</xdr:row>
      <xdr:rowOff>190500</xdr:rowOff>
    </xdr:from>
    <xdr:to>
      <xdr:col>6</xdr:col>
      <xdr:colOff>381000</xdr:colOff>
      <xdr:row>22</xdr:row>
      <xdr:rowOff>171450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166FED0-0554-4578-955F-35EF0EBC325C}"/>
            </a:ext>
          </a:extLst>
        </xdr:cNvPr>
        <xdr:cNvCxnSpPr/>
      </xdr:nvCxnSpPr>
      <xdr:spPr>
        <a:xfrm>
          <a:off x="5086350" y="3514725"/>
          <a:ext cx="0" cy="5619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857249</xdr:colOff>
      <xdr:row>22</xdr:row>
      <xdr:rowOff>171450</xdr:rowOff>
    </xdr:from>
    <xdr:to>
      <xdr:col>14</xdr:col>
      <xdr:colOff>19050</xdr:colOff>
      <xdr:row>24</xdr:row>
      <xdr:rowOff>0</xdr:rowOff>
    </xdr:to>
    <xdr:sp macro="" textlink="">
      <xdr:nvSpPr>
        <xdr:cNvPr id="10256" name="Text Box 16">
          <a:extLst>
            <a:ext uri="{FF2B5EF4-FFF2-40B4-BE49-F238E27FC236}">
              <a16:creationId xmlns:a16="http://schemas.microsoft.com/office/drawing/2014/main" id="{CD0C53EE-7CE9-4734-88C9-D28F08311BBD}"/>
            </a:ext>
          </a:extLst>
        </xdr:cNvPr>
        <xdr:cNvSpPr txBox="1">
          <a:spLocks noChangeArrowheads="1"/>
        </xdr:cNvSpPr>
      </xdr:nvSpPr>
      <xdr:spPr bwMode="auto">
        <a:xfrm>
          <a:off x="11277599" y="4114800"/>
          <a:ext cx="1066801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=T.INV.2T(0.05, 8)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9</xdr:row>
      <xdr:rowOff>152400</xdr:rowOff>
    </xdr:from>
    <xdr:to>
      <xdr:col>9</xdr:col>
      <xdr:colOff>828675</xdr:colOff>
      <xdr:row>10</xdr:row>
      <xdr:rowOff>161925</xdr:rowOff>
    </xdr:to>
    <xdr:sp macro="" textlink="">
      <xdr:nvSpPr>
        <xdr:cNvPr id="11265" name="Text Box 1">
          <a:extLst>
            <a:ext uri="{FF2B5EF4-FFF2-40B4-BE49-F238E27FC236}">
              <a16:creationId xmlns:a16="http://schemas.microsoft.com/office/drawing/2014/main" id="{DE532364-3DB8-43CF-A10A-D7A93F1C11F6}"/>
            </a:ext>
          </a:extLst>
        </xdr:cNvPr>
        <xdr:cNvSpPr txBox="1">
          <a:spLocks noChangeArrowheads="1"/>
        </xdr:cNvSpPr>
      </xdr:nvSpPr>
      <xdr:spPr bwMode="auto">
        <a:xfrm>
          <a:off x="7600950" y="1952625"/>
          <a:ext cx="74295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=MSR/MSE</a:t>
          </a:r>
        </a:p>
      </xdr:txBody>
    </xdr:sp>
    <xdr:clientData/>
  </xdr:twoCellAnchor>
  <xdr:twoCellAnchor>
    <xdr:from>
      <xdr:col>10</xdr:col>
      <xdr:colOff>76200</xdr:colOff>
      <xdr:row>9</xdr:row>
      <xdr:rowOff>152400</xdr:rowOff>
    </xdr:from>
    <xdr:to>
      <xdr:col>12</xdr:col>
      <xdr:colOff>266700</xdr:colOff>
      <xdr:row>10</xdr:row>
      <xdr:rowOff>161925</xdr:rowOff>
    </xdr:to>
    <xdr:sp macro="" textlink="">
      <xdr:nvSpPr>
        <xdr:cNvPr id="11266" name="Text Box 2">
          <a:extLst>
            <a:ext uri="{FF2B5EF4-FFF2-40B4-BE49-F238E27FC236}">
              <a16:creationId xmlns:a16="http://schemas.microsoft.com/office/drawing/2014/main" id="{CCEBA8EE-13FB-40EE-8335-58079401006B}"/>
            </a:ext>
          </a:extLst>
        </xdr:cNvPr>
        <xdr:cNvSpPr txBox="1">
          <a:spLocks noChangeArrowheads="1"/>
        </xdr:cNvSpPr>
      </xdr:nvSpPr>
      <xdr:spPr bwMode="auto">
        <a:xfrm>
          <a:off x="8543925" y="1952625"/>
          <a:ext cx="2095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=F.DIST.RT(11.0847576166179, 1, 8)</a:t>
          </a:r>
        </a:p>
      </xdr:txBody>
    </xdr:sp>
    <xdr:clientData/>
  </xdr:twoCellAnchor>
  <xdr:twoCellAnchor>
    <xdr:from>
      <xdr:col>9</xdr:col>
      <xdr:colOff>371474</xdr:colOff>
      <xdr:row>5</xdr:row>
      <xdr:rowOff>152399</xdr:rowOff>
    </xdr:from>
    <xdr:to>
      <xdr:col>10</xdr:col>
      <xdr:colOff>628649</xdr:colOff>
      <xdr:row>6</xdr:row>
      <xdr:rowOff>161924</xdr:rowOff>
    </xdr:to>
    <xdr:sp macro="" textlink="">
      <xdr:nvSpPr>
        <xdr:cNvPr id="11267" name="Text Box 3">
          <a:extLst>
            <a:ext uri="{FF2B5EF4-FFF2-40B4-BE49-F238E27FC236}">
              <a16:creationId xmlns:a16="http://schemas.microsoft.com/office/drawing/2014/main" id="{226014FE-58C7-42E0-AB7B-F1D94C9EAF82}"/>
            </a:ext>
          </a:extLst>
        </xdr:cNvPr>
        <xdr:cNvSpPr txBox="1">
          <a:spLocks noChangeArrowheads="1"/>
        </xdr:cNvSpPr>
      </xdr:nvSpPr>
      <xdr:spPr bwMode="auto">
        <a:xfrm>
          <a:off x="7886699" y="1190624"/>
          <a:ext cx="120967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=F.INV.RT(0.05, 1, 8)</a:t>
          </a:r>
        </a:p>
      </xdr:txBody>
    </xdr:sp>
    <xdr:clientData/>
  </xdr:twoCellAnchor>
  <xdr:twoCellAnchor>
    <xdr:from>
      <xdr:col>11</xdr:col>
      <xdr:colOff>28575</xdr:colOff>
      <xdr:row>13</xdr:row>
      <xdr:rowOff>114300</xdr:rowOff>
    </xdr:from>
    <xdr:to>
      <xdr:col>11</xdr:col>
      <xdr:colOff>219075</xdr:colOff>
      <xdr:row>13</xdr:row>
      <xdr:rowOff>114301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D1F4B79-6BAE-4150-8494-68FD9A11D629}"/>
            </a:ext>
          </a:extLst>
        </xdr:cNvPr>
        <xdr:cNvCxnSpPr/>
      </xdr:nvCxnSpPr>
      <xdr:spPr>
        <a:xfrm flipV="1">
          <a:off x="9058275" y="2695575"/>
          <a:ext cx="190500" cy="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904875</xdr:colOff>
      <xdr:row>7</xdr:row>
      <xdr:rowOff>171450</xdr:rowOff>
    </xdr:from>
    <xdr:to>
      <xdr:col>13</xdr:col>
      <xdr:colOff>9525</xdr:colOff>
      <xdr:row>9</xdr:row>
      <xdr:rowOff>9525</xdr:rowOff>
    </xdr:to>
    <xdr:sp macro="" textlink="">
      <xdr:nvSpPr>
        <xdr:cNvPr id="11268" name="Text Box 4">
          <a:extLst>
            <a:ext uri="{FF2B5EF4-FFF2-40B4-BE49-F238E27FC236}">
              <a16:creationId xmlns:a16="http://schemas.microsoft.com/office/drawing/2014/main" id="{ED9C06DC-EAC8-4873-BB8F-69EC5DCF3ACF}"/>
            </a:ext>
          </a:extLst>
        </xdr:cNvPr>
        <xdr:cNvSpPr txBox="1">
          <a:spLocks noChangeArrowheads="1"/>
        </xdr:cNvSpPr>
      </xdr:nvSpPr>
      <xdr:spPr bwMode="auto">
        <a:xfrm>
          <a:off x="9934575" y="1590675"/>
          <a:ext cx="100965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=F.INV(0.95, 1,8)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791B-4F08-49CC-9208-70DF2242747A}">
  <dimension ref="D1:L14"/>
  <sheetViews>
    <sheetView workbookViewId="0">
      <selection activeCell="Q20" sqref="Q20"/>
    </sheetView>
  </sheetViews>
  <sheetFormatPr defaultRowHeight="15"/>
  <cols>
    <col min="2" max="2" width="10.7109375" bestFit="1" customWidth="1"/>
    <col min="4" max="4" width="10.85546875" style="2" bestFit="1" customWidth="1"/>
    <col min="5" max="6" width="7.7109375" style="1" customWidth="1"/>
  </cols>
  <sheetData>
    <row r="1" spans="4:12" ht="19.5" thickBot="1">
      <c r="J1" s="46" t="s">
        <v>18</v>
      </c>
      <c r="K1" s="47"/>
      <c r="L1" s="48"/>
    </row>
    <row r="2" spans="4:12" ht="15.75" thickBot="1">
      <c r="E2" s="8" t="s">
        <v>9</v>
      </c>
      <c r="F2" s="9" t="s">
        <v>8</v>
      </c>
    </row>
    <row r="3" spans="4:12">
      <c r="D3" s="3" t="s">
        <v>0</v>
      </c>
      <c r="E3" s="6">
        <v>1500</v>
      </c>
      <c r="F3" s="7">
        <v>1200</v>
      </c>
    </row>
    <row r="4" spans="4:12">
      <c r="D4" s="10" t="s">
        <v>1</v>
      </c>
      <c r="E4" s="6">
        <v>1600</v>
      </c>
      <c r="F4" s="7">
        <v>700</v>
      </c>
    </row>
    <row r="5" spans="4:12">
      <c r="D5" s="4" t="s">
        <v>2</v>
      </c>
      <c r="E5" s="6">
        <v>1550</v>
      </c>
      <c r="F5" s="7">
        <v>1500</v>
      </c>
    </row>
    <row r="6" spans="4:12">
      <c r="D6" s="4" t="s">
        <v>3</v>
      </c>
      <c r="E6" s="6">
        <v>1400</v>
      </c>
      <c r="F6" s="7">
        <v>690</v>
      </c>
    </row>
    <row r="7" spans="4:12">
      <c r="D7" s="4" t="s">
        <v>4</v>
      </c>
      <c r="E7" s="6">
        <v>1500</v>
      </c>
      <c r="F7" s="7">
        <v>750</v>
      </c>
    </row>
    <row r="8" spans="4:12">
      <c r="D8" s="4" t="s">
        <v>5</v>
      </c>
      <c r="E8" s="6">
        <v>1600</v>
      </c>
      <c r="F8" s="7">
        <v>1450</v>
      </c>
    </row>
    <row r="9" spans="4:12">
      <c r="D9" s="4" t="s">
        <v>6</v>
      </c>
      <c r="E9" s="6">
        <v>1480</v>
      </c>
      <c r="F9" s="7">
        <v>200</v>
      </c>
    </row>
    <row r="10" spans="4:12" ht="15.75" thickBot="1">
      <c r="D10" s="5" t="s">
        <v>7</v>
      </c>
      <c r="E10" s="6">
        <v>1520</v>
      </c>
      <c r="F10" s="7">
        <v>680</v>
      </c>
    </row>
    <row r="11" spans="4:12">
      <c r="D11"/>
      <c r="E11"/>
      <c r="F11"/>
    </row>
    <row r="12" spans="4:12">
      <c r="D12"/>
      <c r="E12"/>
      <c r="F12"/>
    </row>
    <row r="13" spans="4:12">
      <c r="D13"/>
      <c r="E13"/>
      <c r="F13"/>
    </row>
    <row r="14" spans="4:12">
      <c r="D14"/>
      <c r="E14"/>
      <c r="F14"/>
    </row>
  </sheetData>
  <mergeCells count="1">
    <mergeCell ref="J1:L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3AB4-EF74-4022-8DA9-EDBA9CC88464}">
  <dimension ref="D1:K15"/>
  <sheetViews>
    <sheetView workbookViewId="0">
      <selection activeCell="K27" sqref="K27"/>
    </sheetView>
  </sheetViews>
  <sheetFormatPr defaultRowHeight="15"/>
  <cols>
    <col min="2" max="2" width="10.7109375" bestFit="1" customWidth="1"/>
    <col min="4" max="4" width="10.85546875" style="2" bestFit="1" customWidth="1"/>
    <col min="5" max="6" width="7.7109375" style="1" customWidth="1"/>
    <col min="7" max="7" width="13.140625" style="1" customWidth="1"/>
    <col min="8" max="8" width="22.5703125" bestFit="1" customWidth="1"/>
    <col min="9" max="9" width="11" customWidth="1"/>
  </cols>
  <sheetData>
    <row r="1" spans="4:11" ht="19.5" thickBot="1">
      <c r="H1" s="46" t="s">
        <v>26</v>
      </c>
      <c r="I1" s="47"/>
      <c r="J1" s="47"/>
      <c r="K1" s="48"/>
    </row>
    <row r="2" spans="4:11" ht="29.25" customHeight="1" thickBot="1">
      <c r="E2" s="19" t="s">
        <v>9</v>
      </c>
      <c r="F2" s="20" t="s">
        <v>8</v>
      </c>
      <c r="G2" s="18" t="s">
        <v>17</v>
      </c>
      <c r="H2" s="12" t="s">
        <v>10</v>
      </c>
      <c r="I2" s="15" t="s">
        <v>13</v>
      </c>
    </row>
    <row r="3" spans="4:11">
      <c r="D3" s="3" t="s">
        <v>0</v>
      </c>
      <c r="E3" s="6">
        <v>1500</v>
      </c>
      <c r="F3" s="7">
        <v>1200</v>
      </c>
      <c r="G3" s="17">
        <f t="shared" ref="G3:G10" si="0">$H$15+$F$15*E3</f>
        <v>837.1094710947109</v>
      </c>
      <c r="H3" s="1">
        <f>(E3-$E$12) * (F3-$F$12)</f>
        <v>-5695.3125</v>
      </c>
      <c r="I3" s="11">
        <f t="shared" ref="I3:I10" si="1">(E3-$E$12)^2</f>
        <v>351.5625</v>
      </c>
    </row>
    <row r="4" spans="4:11">
      <c r="D4" s="10" t="s">
        <v>1</v>
      </c>
      <c r="E4" s="6">
        <v>1600</v>
      </c>
      <c r="F4" s="7">
        <v>700</v>
      </c>
      <c r="G4" s="17">
        <f t="shared" si="0"/>
        <v>1152.5256252562522</v>
      </c>
      <c r="H4" s="1">
        <f t="shared" ref="H4:H10" si="2">(E4-$E$12) * (F4-$F$12)</f>
        <v>-15945.3125</v>
      </c>
      <c r="I4" s="11">
        <f t="shared" si="1"/>
        <v>6601.5625</v>
      </c>
    </row>
    <row r="5" spans="4:11">
      <c r="D5" s="4" t="s">
        <v>2</v>
      </c>
      <c r="E5" s="6">
        <v>1550</v>
      </c>
      <c r="F5" s="7">
        <v>1500</v>
      </c>
      <c r="G5" s="17">
        <f t="shared" si="0"/>
        <v>994.81754817548153</v>
      </c>
      <c r="H5" s="1">
        <f t="shared" si="2"/>
        <v>18867.1875</v>
      </c>
      <c r="I5" s="11">
        <f t="shared" si="1"/>
        <v>976.5625</v>
      </c>
    </row>
    <row r="6" spans="4:11">
      <c r="D6" s="4" t="s">
        <v>3</v>
      </c>
      <c r="E6" s="6">
        <v>1400</v>
      </c>
      <c r="F6" s="7">
        <v>690</v>
      </c>
      <c r="G6" s="17">
        <f t="shared" si="0"/>
        <v>521.69331693316872</v>
      </c>
      <c r="H6" s="1">
        <f t="shared" si="2"/>
        <v>24492.1875</v>
      </c>
      <c r="I6" s="11">
        <f t="shared" si="1"/>
        <v>14101.5625</v>
      </c>
    </row>
    <row r="7" spans="4:11">
      <c r="D7" s="4" t="s">
        <v>4</v>
      </c>
      <c r="E7" s="6">
        <v>1500</v>
      </c>
      <c r="F7" s="7">
        <v>750</v>
      </c>
      <c r="G7" s="17">
        <f t="shared" si="0"/>
        <v>837.1094710947109</v>
      </c>
      <c r="H7" s="1">
        <f t="shared" si="2"/>
        <v>2742.1875</v>
      </c>
      <c r="I7" s="11">
        <f t="shared" si="1"/>
        <v>351.5625</v>
      </c>
    </row>
    <row r="8" spans="4:11">
      <c r="D8" s="4" t="s">
        <v>5</v>
      </c>
      <c r="E8" s="6">
        <v>1600</v>
      </c>
      <c r="F8" s="7">
        <v>1450</v>
      </c>
      <c r="G8" s="17">
        <f t="shared" si="0"/>
        <v>1152.5256252562522</v>
      </c>
      <c r="H8" s="1">
        <f t="shared" si="2"/>
        <v>44992.1875</v>
      </c>
      <c r="I8" s="11">
        <f t="shared" si="1"/>
        <v>6601.5625</v>
      </c>
    </row>
    <row r="9" spans="4:11">
      <c r="D9" s="4" t="s">
        <v>6</v>
      </c>
      <c r="E9" s="6">
        <v>1480</v>
      </c>
      <c r="F9" s="7">
        <v>200</v>
      </c>
      <c r="G9" s="17">
        <f t="shared" si="0"/>
        <v>774.0262402624021</v>
      </c>
      <c r="H9" s="1">
        <f t="shared" si="2"/>
        <v>26979.6875</v>
      </c>
      <c r="I9" s="11">
        <f t="shared" si="1"/>
        <v>1501.5625</v>
      </c>
    </row>
    <row r="10" spans="4:11" ht="15.75" thickBot="1">
      <c r="D10" s="5" t="s">
        <v>7</v>
      </c>
      <c r="E10" s="6">
        <v>1520</v>
      </c>
      <c r="F10" s="7">
        <v>680</v>
      </c>
      <c r="G10" s="17">
        <f t="shared" si="0"/>
        <v>900.19270192701879</v>
      </c>
      <c r="H10" s="1">
        <f t="shared" si="2"/>
        <v>-270.3125</v>
      </c>
      <c r="I10" s="11">
        <f t="shared" si="1"/>
        <v>1.5625</v>
      </c>
    </row>
    <row r="11" spans="4:11">
      <c r="D11"/>
      <c r="E11" s="49" t="s">
        <v>12</v>
      </c>
      <c r="F11" s="49"/>
      <c r="G11" s="17"/>
      <c r="H11" s="15" t="s">
        <v>11</v>
      </c>
      <c r="I11" s="15" t="s">
        <v>14</v>
      </c>
    </row>
    <row r="12" spans="4:11">
      <c r="E12" s="13">
        <f>AVERAGE(E3:E10)</f>
        <v>1518.75</v>
      </c>
      <c r="F12" s="13">
        <f>AVERAGE(F3:F10)</f>
        <v>896.25</v>
      </c>
      <c r="G12" s="13"/>
      <c r="H12" s="14">
        <f>SUM(H3:H10)</f>
        <v>96162.5</v>
      </c>
      <c r="I12" s="14">
        <f>SUM(I3:I10)</f>
        <v>30487.5</v>
      </c>
    </row>
    <row r="13" spans="4:11">
      <c r="D13"/>
      <c r="E13"/>
      <c r="F13"/>
      <c r="G13"/>
    </row>
    <row r="14" spans="4:11">
      <c r="D14"/>
      <c r="E14"/>
      <c r="F14" s="16" t="s">
        <v>15</v>
      </c>
      <c r="G14" s="16"/>
      <c r="H14" s="16" t="s">
        <v>16</v>
      </c>
    </row>
    <row r="15" spans="4:11">
      <c r="F15" s="16">
        <f>H12/I12</f>
        <v>3.1541615416154163</v>
      </c>
      <c r="G15" s="16"/>
      <c r="H15" s="16">
        <f>F12 - F15*E12</f>
        <v>-3894.1328413284136</v>
      </c>
    </row>
  </sheetData>
  <mergeCells count="2">
    <mergeCell ref="E11:F11"/>
    <mergeCell ref="H1:K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853C-A8EA-4734-A6D1-E44B9E463FA2}">
  <dimension ref="D1:Q16"/>
  <sheetViews>
    <sheetView workbookViewId="0">
      <selection activeCell="N21" sqref="N21"/>
    </sheetView>
  </sheetViews>
  <sheetFormatPr defaultRowHeight="15"/>
  <cols>
    <col min="5" max="5" width="14" bestFit="1" customWidth="1"/>
    <col min="9" max="9" width="25.5703125" bestFit="1" customWidth="1"/>
    <col min="10" max="10" width="9.28515625" bestFit="1" customWidth="1"/>
    <col min="11" max="11" width="12" bestFit="1" customWidth="1"/>
  </cols>
  <sheetData>
    <row r="1" spans="4:17" ht="19.5" thickBot="1">
      <c r="I1" s="46" t="s">
        <v>19</v>
      </c>
      <c r="J1" s="47"/>
      <c r="K1" s="47"/>
      <c r="L1" s="48"/>
    </row>
    <row r="2" spans="4:17" ht="15.75" thickBot="1"/>
    <row r="3" spans="4:17" ht="15.75" thickBot="1">
      <c r="D3" s="2"/>
      <c r="E3" s="19" t="s">
        <v>20</v>
      </c>
      <c r="F3" s="19" t="s">
        <v>9</v>
      </c>
      <c r="G3" s="20" t="s">
        <v>8</v>
      </c>
      <c r="I3" s="50" t="s">
        <v>21</v>
      </c>
      <c r="J3" s="28">
        <f t="array" ref="J3:Q4">TRANSPOSE(E4:F11)</f>
        <v>1</v>
      </c>
      <c r="K3" s="28">
        <v>1</v>
      </c>
      <c r="L3" s="28">
        <v>1</v>
      </c>
      <c r="M3" s="28">
        <v>1</v>
      </c>
      <c r="N3" s="28">
        <v>1</v>
      </c>
      <c r="O3" s="28">
        <v>1</v>
      </c>
      <c r="P3" s="28">
        <v>1</v>
      </c>
      <c r="Q3" s="28">
        <v>1</v>
      </c>
    </row>
    <row r="4" spans="4:17">
      <c r="D4" s="21" t="s">
        <v>0</v>
      </c>
      <c r="E4" s="25">
        <v>1</v>
      </c>
      <c r="F4" s="26">
        <v>1500</v>
      </c>
      <c r="G4" s="27">
        <v>1200</v>
      </c>
      <c r="I4" s="50"/>
      <c r="J4" s="28">
        <v>1500</v>
      </c>
      <c r="K4" s="28">
        <v>1600</v>
      </c>
      <c r="L4" s="28">
        <v>1550</v>
      </c>
      <c r="M4" s="28">
        <v>1400</v>
      </c>
      <c r="N4" s="28">
        <v>1500</v>
      </c>
      <c r="O4" s="28">
        <v>1600</v>
      </c>
      <c r="P4" s="28">
        <v>1480</v>
      </c>
      <c r="Q4" s="28">
        <v>1520</v>
      </c>
    </row>
    <row r="5" spans="4:17">
      <c r="D5" s="22" t="s">
        <v>1</v>
      </c>
      <c r="E5" s="25">
        <v>1</v>
      </c>
      <c r="F5" s="26">
        <v>1600</v>
      </c>
      <c r="G5" s="27">
        <v>700</v>
      </c>
      <c r="J5" s="1"/>
      <c r="K5" s="1"/>
      <c r="L5" s="1"/>
      <c r="M5" s="1"/>
      <c r="N5" s="1"/>
      <c r="O5" s="1"/>
      <c r="P5" s="1"/>
      <c r="Q5" s="1"/>
    </row>
    <row r="6" spans="4:17">
      <c r="D6" s="23" t="s">
        <v>2</v>
      </c>
      <c r="E6" s="25">
        <v>1</v>
      </c>
      <c r="F6" s="26">
        <v>1550</v>
      </c>
      <c r="G6" s="27">
        <v>1500</v>
      </c>
      <c r="I6" s="50" t="s">
        <v>22</v>
      </c>
      <c r="J6" s="28">
        <f t="array" ref="J6:K7">MMULT(J3:Q4, E4:F11)</f>
        <v>8</v>
      </c>
      <c r="K6" s="28">
        <v>12150</v>
      </c>
      <c r="L6" s="1"/>
      <c r="M6" s="1"/>
      <c r="N6" s="1"/>
      <c r="O6" s="1"/>
      <c r="P6" s="1"/>
      <c r="Q6" s="1"/>
    </row>
    <row r="7" spans="4:17">
      <c r="D7" s="23" t="s">
        <v>3</v>
      </c>
      <c r="E7" s="25">
        <v>1</v>
      </c>
      <c r="F7" s="26">
        <v>1400</v>
      </c>
      <c r="G7" s="27">
        <v>690</v>
      </c>
      <c r="I7" s="50"/>
      <c r="J7" s="28">
        <v>12150</v>
      </c>
      <c r="K7" s="28">
        <v>18483300</v>
      </c>
      <c r="L7" s="1"/>
      <c r="M7" s="1"/>
      <c r="N7" s="1"/>
      <c r="O7" s="1"/>
      <c r="P7" s="1"/>
      <c r="Q7" s="1"/>
    </row>
    <row r="8" spans="4:17">
      <c r="D8" s="23" t="s">
        <v>4</v>
      </c>
      <c r="E8" s="25">
        <v>1</v>
      </c>
      <c r="F8" s="26">
        <v>1500</v>
      </c>
      <c r="G8" s="27">
        <v>750</v>
      </c>
      <c r="J8" s="1"/>
      <c r="K8" s="1"/>
      <c r="L8" s="1"/>
      <c r="M8" s="1"/>
      <c r="N8" s="1"/>
      <c r="O8" s="1"/>
      <c r="P8" s="1"/>
      <c r="Q8" s="1"/>
    </row>
    <row r="9" spans="4:17">
      <c r="D9" s="23" t="s">
        <v>5</v>
      </c>
      <c r="E9" s="25">
        <v>1</v>
      </c>
      <c r="F9" s="26">
        <v>1600</v>
      </c>
      <c r="G9" s="27">
        <v>1450</v>
      </c>
      <c r="I9" s="50" t="s">
        <v>23</v>
      </c>
      <c r="J9" s="28">
        <f t="array" ref="J9:K10">MINVERSE(J6:K7)</f>
        <v>75.782287822875432</v>
      </c>
      <c r="K9" s="28">
        <v>-4.9815498154979716E-2</v>
      </c>
      <c r="L9" s="1"/>
      <c r="M9" s="1"/>
      <c r="N9" s="1"/>
      <c r="O9" s="1"/>
      <c r="P9" s="1"/>
      <c r="Q9" s="1"/>
    </row>
    <row r="10" spans="4:17">
      <c r="D10" s="23" t="s">
        <v>6</v>
      </c>
      <c r="E10" s="25">
        <v>1</v>
      </c>
      <c r="F10" s="26">
        <v>1480</v>
      </c>
      <c r="G10" s="27">
        <v>200</v>
      </c>
      <c r="I10" s="50"/>
      <c r="J10" s="28">
        <v>-4.9815498154979709E-2</v>
      </c>
      <c r="K10" s="28">
        <v>3.2800328003278826E-5</v>
      </c>
      <c r="L10" s="1"/>
      <c r="M10" s="1"/>
      <c r="N10" s="1"/>
      <c r="O10" s="1"/>
      <c r="P10" s="1"/>
      <c r="Q10" s="1"/>
    </row>
    <row r="11" spans="4:17" ht="15.75" thickBot="1">
      <c r="D11" s="24" t="s">
        <v>7</v>
      </c>
      <c r="E11" s="25">
        <v>1</v>
      </c>
      <c r="F11" s="26">
        <v>1520</v>
      </c>
      <c r="G11" s="27">
        <v>680</v>
      </c>
    </row>
    <row r="12" spans="4:17">
      <c r="I12" s="50" t="s">
        <v>24</v>
      </c>
      <c r="J12" s="28">
        <f t="array" ref="J12:J13">MMULT(J3:Q4, G4:G11)</f>
        <v>7170</v>
      </c>
    </row>
    <row r="13" spans="4:17">
      <c r="I13" s="50"/>
      <c r="J13" s="28">
        <v>10985600</v>
      </c>
    </row>
    <row r="15" spans="4:17">
      <c r="I15" s="50" t="s">
        <v>25</v>
      </c>
      <c r="J15" s="29" t="s">
        <v>16</v>
      </c>
      <c r="K15" s="28">
        <f t="array" ref="K15:K16">MMULT(J9:K10, J12:J13)</f>
        <v>-3894.1328413283918</v>
      </c>
    </row>
    <row r="16" spans="4:17">
      <c r="I16" s="50"/>
      <c r="J16" s="29" t="s">
        <v>15</v>
      </c>
      <c r="K16" s="28">
        <v>3.1541615416153945</v>
      </c>
    </row>
  </sheetData>
  <mergeCells count="6">
    <mergeCell ref="I15:I16"/>
    <mergeCell ref="I1:L1"/>
    <mergeCell ref="I3:I4"/>
    <mergeCell ref="I6:I7"/>
    <mergeCell ref="I9:I10"/>
    <mergeCell ref="I12:I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DB52-B0AB-492A-B074-CC42FBE4A2CD}">
  <dimension ref="B1:P22"/>
  <sheetViews>
    <sheetView workbookViewId="0">
      <selection activeCell="J29" sqref="J29"/>
    </sheetView>
  </sheetViews>
  <sheetFormatPr defaultRowHeight="15"/>
  <cols>
    <col min="2" max="2" width="14" bestFit="1" customWidth="1"/>
    <col min="3" max="3" width="14.7109375" bestFit="1" customWidth="1"/>
    <col min="4" max="4" width="23.140625" bestFit="1" customWidth="1"/>
    <col min="5" max="5" width="4" customWidth="1"/>
    <col min="6" max="6" width="25.5703125" bestFit="1" customWidth="1"/>
    <col min="7" max="7" width="9.28515625" bestFit="1" customWidth="1"/>
    <col min="8" max="8" width="12" bestFit="1" customWidth="1"/>
  </cols>
  <sheetData>
    <row r="1" spans="2:16" ht="19.5" thickBot="1">
      <c r="F1" s="46" t="s">
        <v>54</v>
      </c>
      <c r="G1" s="47"/>
      <c r="H1" s="47"/>
      <c r="I1" s="47"/>
      <c r="J1" s="47"/>
      <c r="K1" s="48"/>
    </row>
    <row r="2" spans="2:16" ht="15.75" thickBot="1">
      <c r="B2" s="33" t="s">
        <v>20</v>
      </c>
      <c r="C2" s="33" t="s">
        <v>27</v>
      </c>
      <c r="D2" s="34" t="s">
        <v>28</v>
      </c>
    </row>
    <row r="3" spans="2:16">
      <c r="B3" s="32">
        <v>1</v>
      </c>
      <c r="C3" s="32">
        <v>1400</v>
      </c>
      <c r="D3" s="32">
        <v>245</v>
      </c>
      <c r="F3" s="30"/>
      <c r="H3" s="51">
        <f>_xlfn.COVARIANCE.P(C3:C12, D3:D12) / _xlfn.VAR.P(C3:C12)</f>
        <v>0.10976773783009863</v>
      </c>
    </row>
    <row r="4" spans="2:16">
      <c r="B4" s="32">
        <v>1</v>
      </c>
      <c r="C4" s="31">
        <v>1600</v>
      </c>
      <c r="D4" s="31">
        <v>312</v>
      </c>
      <c r="H4" s="51"/>
    </row>
    <row r="5" spans="2:16">
      <c r="B5" s="32">
        <v>1</v>
      </c>
      <c r="C5" s="31">
        <v>1700</v>
      </c>
      <c r="D5" s="31">
        <v>279</v>
      </c>
    </row>
    <row r="6" spans="2:16">
      <c r="B6" s="32">
        <v>1</v>
      </c>
      <c r="C6" s="31">
        <v>1875</v>
      </c>
      <c r="D6" s="31">
        <v>308</v>
      </c>
      <c r="H6">
        <f>AVERAGE(D3:D12) - H3 * AVERAGE(C3:C12)</f>
        <v>98.248329621380833</v>
      </c>
    </row>
    <row r="7" spans="2:16">
      <c r="B7" s="32">
        <v>1</v>
      </c>
      <c r="C7" s="31">
        <v>1100</v>
      </c>
      <c r="D7" s="31">
        <v>199</v>
      </c>
    </row>
    <row r="8" spans="2:16" ht="18.75" customHeight="1">
      <c r="B8" s="32">
        <v>1</v>
      </c>
      <c r="C8" s="31">
        <v>1550</v>
      </c>
      <c r="D8" s="31">
        <v>219</v>
      </c>
      <c r="F8" s="50" t="s">
        <v>21</v>
      </c>
      <c r="G8" s="28">
        <f t="array" ref="G8:P9">TRANSPOSE(B3:C12)</f>
        <v>1</v>
      </c>
      <c r="H8" s="28">
        <v>1</v>
      </c>
      <c r="I8" s="28">
        <v>1</v>
      </c>
      <c r="J8" s="28">
        <v>1</v>
      </c>
      <c r="K8" s="28">
        <v>1</v>
      </c>
      <c r="L8" s="28">
        <v>1</v>
      </c>
      <c r="M8" s="28">
        <v>1</v>
      </c>
      <c r="N8" s="28">
        <v>1</v>
      </c>
      <c r="O8" s="28">
        <v>1</v>
      </c>
      <c r="P8" s="28">
        <v>1</v>
      </c>
    </row>
    <row r="9" spans="2:16" ht="18.75" customHeight="1">
      <c r="B9" s="32">
        <v>1</v>
      </c>
      <c r="C9" s="31">
        <v>2350</v>
      </c>
      <c r="D9" s="31">
        <v>405</v>
      </c>
      <c r="F9" s="50"/>
      <c r="G9" s="28">
        <v>1400</v>
      </c>
      <c r="H9" s="28">
        <v>1600</v>
      </c>
      <c r="I9" s="28">
        <v>1700</v>
      </c>
      <c r="J9" s="28">
        <v>1875</v>
      </c>
      <c r="K9" s="28">
        <v>1100</v>
      </c>
      <c r="L9" s="28">
        <v>1550</v>
      </c>
      <c r="M9" s="28">
        <v>2350</v>
      </c>
      <c r="N9" s="28">
        <v>2450</v>
      </c>
      <c r="O9" s="28">
        <v>1425</v>
      </c>
      <c r="P9" s="28">
        <v>1700</v>
      </c>
    </row>
    <row r="10" spans="2:16">
      <c r="B10" s="32">
        <v>1</v>
      </c>
      <c r="C10" s="31">
        <v>2450</v>
      </c>
      <c r="D10" s="31">
        <v>324</v>
      </c>
    </row>
    <row r="11" spans="2:16" ht="18.75" customHeight="1">
      <c r="B11" s="32">
        <v>1</v>
      </c>
      <c r="C11" s="31">
        <v>1425</v>
      </c>
      <c r="D11" s="31">
        <v>319</v>
      </c>
      <c r="F11" s="50" t="s">
        <v>22</v>
      </c>
      <c r="G11">
        <f t="array" ref="G11:H12">MMULT(G8:P9, B3:C12)</f>
        <v>10</v>
      </c>
      <c r="H11">
        <v>17150</v>
      </c>
    </row>
    <row r="12" spans="2:16" ht="15" customHeight="1">
      <c r="B12" s="32">
        <v>1</v>
      </c>
      <c r="C12" s="31">
        <v>1700</v>
      </c>
      <c r="D12" s="31">
        <v>255</v>
      </c>
      <c r="F12" s="50"/>
      <c r="G12">
        <v>17150</v>
      </c>
      <c r="H12">
        <v>30983750</v>
      </c>
    </row>
    <row r="13" spans="2:16" ht="9.75" customHeight="1"/>
    <row r="14" spans="2:16" ht="18.75" customHeight="1">
      <c r="F14" s="50" t="s">
        <v>23</v>
      </c>
      <c r="G14">
        <f t="array" ref="G14:H15">MINVERSE(G11:H12)</f>
        <v>1.9716035634743878</v>
      </c>
      <c r="H14">
        <v>-1.0913140311804011E-3</v>
      </c>
    </row>
    <row r="15" spans="2:16" ht="15.75" customHeight="1">
      <c r="F15" s="50"/>
      <c r="G15">
        <v>-1.0913140311804011E-3</v>
      </c>
      <c r="H15">
        <v>6.3633471205854287E-7</v>
      </c>
    </row>
    <row r="16" spans="2:16" ht="7.5" customHeight="1"/>
    <row r="17" spans="6:8" ht="18.75" customHeight="1">
      <c r="F17" s="50" t="s">
        <v>24</v>
      </c>
      <c r="G17">
        <f t="array" ref="G17:G18">MMULT(G8:P9, D3:D12)</f>
        <v>2865</v>
      </c>
    </row>
    <row r="18" spans="6:8" ht="15" customHeight="1">
      <c r="F18" s="50"/>
      <c r="G18">
        <v>5085975</v>
      </c>
    </row>
    <row r="19" spans="6:8" ht="8.25" customHeight="1"/>
    <row r="20" spans="6:8">
      <c r="F20" s="50" t="s">
        <v>25</v>
      </c>
      <c r="G20" s="29" t="s">
        <v>16</v>
      </c>
      <c r="H20">
        <f t="array" ref="H20:H21">MMULT(G14:H15, G17:G18)</f>
        <v>98.248329621380435</v>
      </c>
    </row>
    <row r="21" spans="6:8" ht="15" customHeight="1">
      <c r="F21" s="50"/>
      <c r="G21" s="29" t="s">
        <v>15</v>
      </c>
      <c r="H21">
        <v>0.10976773783009852</v>
      </c>
    </row>
    <row r="22" spans="6:8" ht="15" customHeight="1"/>
  </sheetData>
  <mergeCells count="7">
    <mergeCell ref="F1:K1"/>
    <mergeCell ref="H3:H4"/>
    <mergeCell ref="F20:F21"/>
    <mergeCell ref="F8:F9"/>
    <mergeCell ref="F17:F18"/>
    <mergeCell ref="F14:F15"/>
    <mergeCell ref="F11:F1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0675-FCCA-4DFA-8975-84DD521831DB}">
  <dimension ref="C1:N20"/>
  <sheetViews>
    <sheetView workbookViewId="0">
      <selection activeCell="L33" sqref="L33"/>
    </sheetView>
  </sheetViews>
  <sheetFormatPr defaultRowHeight="15"/>
  <cols>
    <col min="3" max="3" width="14.7109375" bestFit="1" customWidth="1"/>
    <col min="4" max="4" width="23.28515625" bestFit="1" customWidth="1"/>
    <col min="6" max="6" width="18" bestFit="1" customWidth="1"/>
    <col min="7" max="7" width="12" bestFit="1" customWidth="1"/>
    <col min="8" max="8" width="14.5703125" bestFit="1" customWidth="1"/>
    <col min="9" max="10" width="12" bestFit="1" customWidth="1"/>
    <col min="11" max="11" width="13.42578125" bestFit="1" customWidth="1"/>
    <col min="12" max="12" width="12" bestFit="1" customWidth="1"/>
    <col min="13" max="13" width="12.7109375" bestFit="1" customWidth="1"/>
    <col min="14" max="14" width="12.5703125" bestFit="1" customWidth="1"/>
  </cols>
  <sheetData>
    <row r="1" spans="3:11" ht="19.5" thickBot="1">
      <c r="G1" s="46" t="s">
        <v>29</v>
      </c>
      <c r="H1" s="47"/>
      <c r="I1" s="47"/>
      <c r="J1" s="48"/>
    </row>
    <row r="2" spans="3:11" ht="15.75" thickBot="1"/>
    <row r="3" spans="3:11" ht="15.75" thickBot="1">
      <c r="C3" s="33" t="s">
        <v>27</v>
      </c>
      <c r="D3" s="34" t="s">
        <v>28</v>
      </c>
      <c r="F3" t="s">
        <v>30</v>
      </c>
    </row>
    <row r="4" spans="3:11" ht="15.75" thickBot="1">
      <c r="C4" s="32">
        <v>1400</v>
      </c>
      <c r="D4" s="32">
        <v>245</v>
      </c>
    </row>
    <row r="5" spans="3:11">
      <c r="C5" s="31">
        <v>1600</v>
      </c>
      <c r="D5" s="31">
        <v>312</v>
      </c>
      <c r="F5" s="38" t="s">
        <v>31</v>
      </c>
      <c r="G5" s="38"/>
    </row>
    <row r="6" spans="3:11">
      <c r="C6" s="31">
        <v>1700</v>
      </c>
      <c r="D6" s="31">
        <v>279</v>
      </c>
      <c r="F6" s="35" t="s">
        <v>32</v>
      </c>
      <c r="G6" s="35">
        <v>0.76211371321625765</v>
      </c>
    </row>
    <row r="7" spans="3:11">
      <c r="C7" s="31">
        <v>1875</v>
      </c>
      <c r="D7" s="31">
        <v>308</v>
      </c>
      <c r="F7" s="35" t="s">
        <v>33</v>
      </c>
      <c r="G7" s="35">
        <v>0.58081731187227226</v>
      </c>
    </row>
    <row r="8" spans="3:11">
      <c r="C8" s="31">
        <v>1100</v>
      </c>
      <c r="D8" s="31">
        <v>199</v>
      </c>
      <c r="F8" s="35" t="s">
        <v>34</v>
      </c>
      <c r="G8" s="35">
        <v>0.52841947585630633</v>
      </c>
    </row>
    <row r="9" spans="3:11">
      <c r="C9" s="31">
        <v>1550</v>
      </c>
      <c r="D9" s="31">
        <v>219</v>
      </c>
      <c r="F9" s="35" t="s">
        <v>35</v>
      </c>
      <c r="G9" s="35">
        <v>41.330323650299405</v>
      </c>
    </row>
    <row r="10" spans="3:11" ht="15.75" thickBot="1">
      <c r="C10" s="31">
        <v>2350</v>
      </c>
      <c r="D10" s="31">
        <v>405</v>
      </c>
      <c r="F10" s="36" t="s">
        <v>36</v>
      </c>
      <c r="G10" s="36">
        <v>10</v>
      </c>
    </row>
    <row r="11" spans="3:11">
      <c r="C11" s="31">
        <v>2450</v>
      </c>
      <c r="D11" s="31">
        <v>324</v>
      </c>
    </row>
    <row r="12" spans="3:11" ht="15.75" thickBot="1">
      <c r="C12" s="31">
        <v>1425</v>
      </c>
      <c r="D12" s="31">
        <v>319</v>
      </c>
      <c r="F12" t="s">
        <v>37</v>
      </c>
    </row>
    <row r="13" spans="3:11">
      <c r="C13" s="31">
        <v>1700</v>
      </c>
      <c r="D13" s="31">
        <v>255</v>
      </c>
      <c r="F13" s="37"/>
      <c r="G13" s="37" t="s">
        <v>42</v>
      </c>
      <c r="H13" s="37" t="s">
        <v>43</v>
      </c>
      <c r="I13" s="37" t="s">
        <v>44</v>
      </c>
      <c r="J13" s="37" t="s">
        <v>45</v>
      </c>
      <c r="K13" s="37" t="s">
        <v>46</v>
      </c>
    </row>
    <row r="14" spans="3:11">
      <c r="F14" s="35" t="s">
        <v>38</v>
      </c>
      <c r="G14" s="35">
        <v>1</v>
      </c>
      <c r="H14" s="35">
        <v>18934.934775692011</v>
      </c>
      <c r="I14" s="35">
        <v>18934.934775692011</v>
      </c>
      <c r="J14" s="35">
        <v>11.084757616617857</v>
      </c>
      <c r="K14" s="35">
        <v>1.0394016376015495E-2</v>
      </c>
    </row>
    <row r="15" spans="3:11">
      <c r="F15" s="35" t="s">
        <v>39</v>
      </c>
      <c r="G15" s="35">
        <v>8</v>
      </c>
      <c r="H15" s="35">
        <v>13665.565224307988</v>
      </c>
      <c r="I15" s="35">
        <v>1708.1956530384984</v>
      </c>
      <c r="J15" s="35"/>
      <c r="K15" s="35"/>
    </row>
    <row r="16" spans="3:11" ht="15.75" thickBot="1">
      <c r="F16" s="36" t="s">
        <v>40</v>
      </c>
      <c r="G16" s="36">
        <v>9</v>
      </c>
      <c r="H16" s="36">
        <v>32600.5</v>
      </c>
      <c r="I16" s="36"/>
      <c r="J16" s="36"/>
      <c r="K16" s="36"/>
    </row>
    <row r="17" spans="6:14" ht="15.75" thickBot="1"/>
    <row r="18" spans="6:14">
      <c r="F18" s="37"/>
      <c r="G18" s="37" t="s">
        <v>47</v>
      </c>
      <c r="H18" s="37" t="s">
        <v>35</v>
      </c>
      <c r="I18" s="37" t="s">
        <v>48</v>
      </c>
      <c r="J18" s="37" t="s">
        <v>49</v>
      </c>
      <c r="K18" s="37" t="s">
        <v>50</v>
      </c>
      <c r="L18" s="37" t="s">
        <v>51</v>
      </c>
      <c r="M18" s="37" t="s">
        <v>52</v>
      </c>
      <c r="N18" s="37" t="s">
        <v>53</v>
      </c>
    </row>
    <row r="19" spans="6:14">
      <c r="F19" s="35" t="s">
        <v>41</v>
      </c>
      <c r="G19" s="35">
        <v>98.248329621380833</v>
      </c>
      <c r="H19" s="35">
        <v>58.033478584711453</v>
      </c>
      <c r="I19" s="35">
        <v>1.6929595126366201</v>
      </c>
      <c r="J19" s="35">
        <v>0.12891881585496773</v>
      </c>
      <c r="K19" s="35">
        <v>-35.577111975246254</v>
      </c>
      <c r="L19" s="35">
        <v>232.07377121800792</v>
      </c>
      <c r="M19" s="35">
        <v>-35.577111975246254</v>
      </c>
      <c r="N19" s="35">
        <v>232.07377121800792</v>
      </c>
    </row>
    <row r="20" spans="6:14" ht="15.75" thickBot="1">
      <c r="F20" s="36" t="s">
        <v>27</v>
      </c>
      <c r="G20" s="36">
        <v>0.10976773783009863</v>
      </c>
      <c r="H20" s="36">
        <v>3.296944326214666E-2</v>
      </c>
      <c r="I20" s="36">
        <v>3.3293779624154802</v>
      </c>
      <c r="J20" s="36">
        <v>1.0394016376015495E-2</v>
      </c>
      <c r="K20" s="36">
        <v>3.3740065332209274E-2</v>
      </c>
      <c r="L20" s="36">
        <v>0.18579541032798799</v>
      </c>
      <c r="M20" s="36">
        <v>3.3740065332209274E-2</v>
      </c>
      <c r="N20" s="36">
        <v>0.18579541032798799</v>
      </c>
    </row>
  </sheetData>
  <mergeCells count="1">
    <mergeCell ref="G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060A-8CD5-4EC1-8B56-443A9D4C161A}">
  <dimension ref="C1:N20"/>
  <sheetViews>
    <sheetView workbookViewId="0">
      <selection activeCell="H9" sqref="H9"/>
    </sheetView>
  </sheetViews>
  <sheetFormatPr defaultRowHeight="15"/>
  <cols>
    <col min="1" max="1" width="6.28515625" customWidth="1"/>
    <col min="2" max="2" width="6.7109375" customWidth="1"/>
    <col min="3" max="3" width="14.7109375" bestFit="1" customWidth="1"/>
    <col min="4" max="4" width="23.28515625" bestFit="1" customWidth="1"/>
    <col min="5" max="5" width="4.5703125" customWidth="1"/>
    <col min="6" max="6" width="18" bestFit="1" customWidth="1"/>
    <col min="7" max="7" width="12" bestFit="1" customWidth="1"/>
    <col min="8" max="8" width="14.5703125" bestFit="1" customWidth="1"/>
    <col min="9" max="10" width="12" bestFit="1" customWidth="1"/>
    <col min="11" max="11" width="15" bestFit="1" customWidth="1"/>
    <col min="12" max="12" width="12" bestFit="1" customWidth="1"/>
    <col min="13" max="13" width="12.7109375" bestFit="1" customWidth="1"/>
    <col min="14" max="14" width="12.5703125" bestFit="1" customWidth="1"/>
  </cols>
  <sheetData>
    <row r="1" spans="3:11" ht="19.5" thickBot="1">
      <c r="G1" s="46" t="s">
        <v>29</v>
      </c>
      <c r="H1" s="47"/>
      <c r="I1" s="47"/>
      <c r="J1" s="48"/>
    </row>
    <row r="2" spans="3:11" ht="15.75" thickBot="1"/>
    <row r="3" spans="3:11" ht="15.75" thickBot="1">
      <c r="C3" s="33" t="s">
        <v>27</v>
      </c>
      <c r="D3" s="34" t="s">
        <v>28</v>
      </c>
      <c r="F3" t="s">
        <v>30</v>
      </c>
    </row>
    <row r="4" spans="3:11" ht="15.75" thickBot="1">
      <c r="C4" s="32">
        <v>1400</v>
      </c>
      <c r="D4" s="32">
        <v>245</v>
      </c>
    </row>
    <row r="5" spans="3:11">
      <c r="C5" s="31">
        <v>1600</v>
      </c>
      <c r="D5" s="31">
        <v>312</v>
      </c>
      <c r="F5" s="38" t="s">
        <v>31</v>
      </c>
      <c r="G5" s="38"/>
    </row>
    <row r="6" spans="3:11">
      <c r="C6" s="31">
        <v>1700</v>
      </c>
      <c r="D6" s="31">
        <v>279</v>
      </c>
      <c r="F6" s="35" t="s">
        <v>32</v>
      </c>
      <c r="G6" s="35">
        <v>0.76211371321625765</v>
      </c>
    </row>
    <row r="7" spans="3:11">
      <c r="C7" s="31">
        <v>1875</v>
      </c>
      <c r="D7" s="31">
        <v>308</v>
      </c>
      <c r="F7" s="35" t="s">
        <v>33</v>
      </c>
      <c r="G7" s="35">
        <v>0.58081731187227226</v>
      </c>
      <c r="H7" s="39">
        <f>H14/H16</f>
        <v>0.58081731187227226</v>
      </c>
    </row>
    <row r="8" spans="3:11">
      <c r="C8" s="31">
        <v>1100</v>
      </c>
      <c r="D8" s="31">
        <v>199</v>
      </c>
      <c r="F8" s="35" t="s">
        <v>34</v>
      </c>
      <c r="G8" s="35">
        <v>0.52841947585630633</v>
      </c>
    </row>
    <row r="9" spans="3:11">
      <c r="C9" s="31">
        <v>1550</v>
      </c>
      <c r="D9" s="31">
        <v>219</v>
      </c>
      <c r="F9" s="35" t="s">
        <v>35</v>
      </c>
      <c r="G9" s="35">
        <v>41.330323650299405</v>
      </c>
      <c r="H9" s="42">
        <f>SQRT(H15/G15)</f>
        <v>41.330323650299405</v>
      </c>
      <c r="I9" s="44">
        <f>SQRT(I15)</f>
        <v>41.330323650299405</v>
      </c>
      <c r="J9" s="14" t="s">
        <v>55</v>
      </c>
      <c r="K9" s="14" t="s">
        <v>56</v>
      </c>
    </row>
    <row r="10" spans="3:11" ht="15.75" thickBot="1">
      <c r="C10" s="31">
        <v>2350</v>
      </c>
      <c r="D10" s="31">
        <v>405</v>
      </c>
      <c r="F10" s="36" t="s">
        <v>36</v>
      </c>
      <c r="G10" s="36">
        <v>10</v>
      </c>
    </row>
    <row r="11" spans="3:11">
      <c r="C11" s="31">
        <v>2450</v>
      </c>
      <c r="D11" s="31">
        <v>324</v>
      </c>
    </row>
    <row r="12" spans="3:11" ht="15.75" thickBot="1">
      <c r="C12" s="31">
        <v>1425</v>
      </c>
      <c r="D12" s="31">
        <v>319</v>
      </c>
      <c r="F12" t="s">
        <v>37</v>
      </c>
    </row>
    <row r="13" spans="3:11">
      <c r="C13" s="31">
        <v>1700</v>
      </c>
      <c r="D13" s="31">
        <v>255</v>
      </c>
      <c r="F13" s="37"/>
      <c r="G13" s="37" t="s">
        <v>42</v>
      </c>
      <c r="H13" s="37" t="s">
        <v>43</v>
      </c>
      <c r="I13" s="37" t="s">
        <v>44</v>
      </c>
      <c r="J13" s="37" t="s">
        <v>45</v>
      </c>
      <c r="K13" s="37" t="s">
        <v>46</v>
      </c>
    </row>
    <row r="14" spans="3:11">
      <c r="F14" s="35" t="s">
        <v>38</v>
      </c>
      <c r="G14" s="35">
        <v>1</v>
      </c>
      <c r="H14" s="40">
        <v>18934.934775692011</v>
      </c>
      <c r="I14" s="35">
        <v>18934.934775692011</v>
      </c>
      <c r="J14" s="35">
        <v>11.084757616617857</v>
      </c>
      <c r="K14" s="35">
        <v>1.0394016376015495E-2</v>
      </c>
    </row>
    <row r="15" spans="3:11">
      <c r="F15" s="35" t="s">
        <v>39</v>
      </c>
      <c r="G15" s="35">
        <v>8</v>
      </c>
      <c r="H15" s="43">
        <v>13665.565224307988</v>
      </c>
      <c r="I15" s="45">
        <v>1708.1956530384984</v>
      </c>
      <c r="J15" s="35"/>
      <c r="K15" s="35"/>
    </row>
    <row r="16" spans="3:11" ht="15.75" thickBot="1">
      <c r="F16" s="36" t="s">
        <v>40</v>
      </c>
      <c r="G16" s="36">
        <v>9</v>
      </c>
      <c r="H16" s="41">
        <v>32600.5</v>
      </c>
      <c r="I16" s="36"/>
      <c r="J16" s="36"/>
      <c r="K16" s="36"/>
    </row>
    <row r="17" spans="6:14" ht="15.75" thickBot="1"/>
    <row r="18" spans="6:14">
      <c r="F18" s="37"/>
      <c r="G18" s="37" t="s">
        <v>47</v>
      </c>
      <c r="H18" s="37" t="s">
        <v>35</v>
      </c>
      <c r="I18" s="37" t="s">
        <v>48</v>
      </c>
      <c r="J18" s="37" t="s">
        <v>49</v>
      </c>
      <c r="K18" s="37" t="s">
        <v>50</v>
      </c>
      <c r="L18" s="37" t="s">
        <v>51</v>
      </c>
      <c r="M18" s="37" t="s">
        <v>52</v>
      </c>
      <c r="N18" s="37" t="s">
        <v>53</v>
      </c>
    </row>
    <row r="19" spans="6:14">
      <c r="F19" s="35" t="s">
        <v>41</v>
      </c>
      <c r="G19" s="35">
        <v>98.248329621380833</v>
      </c>
      <c r="H19" s="35">
        <v>58.033478584711453</v>
      </c>
      <c r="I19" s="35">
        <v>1.6929595126366201</v>
      </c>
      <c r="J19" s="35">
        <v>0.12891881585496773</v>
      </c>
      <c r="K19" s="35">
        <v>-35.577111975246254</v>
      </c>
      <c r="L19" s="35">
        <v>232.07377121800792</v>
      </c>
      <c r="M19" s="35">
        <v>-35.577111975246254</v>
      </c>
      <c r="N19" s="35">
        <v>232.07377121800792</v>
      </c>
    </row>
    <row r="20" spans="6:14" ht="15.75" thickBot="1">
      <c r="F20" s="36" t="s">
        <v>27</v>
      </c>
      <c r="G20" s="36">
        <v>0.10976773783009863</v>
      </c>
      <c r="H20" s="36">
        <v>3.296944326214666E-2</v>
      </c>
      <c r="I20" s="36">
        <v>3.3293779624154802</v>
      </c>
      <c r="J20" s="36">
        <v>1.0394016376015495E-2</v>
      </c>
      <c r="K20" s="36">
        <v>3.3740065332209274E-2</v>
      </c>
      <c r="L20" s="36">
        <v>0.18579541032798799</v>
      </c>
      <c r="M20" s="36">
        <v>3.3740065332209274E-2</v>
      </c>
      <c r="N20" s="36">
        <v>0.18579541032798799</v>
      </c>
    </row>
  </sheetData>
  <mergeCells count="1">
    <mergeCell ref="G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F3B5-84FF-49A3-A507-0C68094F78D1}">
  <dimension ref="C1:N36"/>
  <sheetViews>
    <sheetView workbookViewId="0">
      <selection activeCell="L10" sqref="L10"/>
    </sheetView>
  </sheetViews>
  <sheetFormatPr defaultRowHeight="15"/>
  <cols>
    <col min="1" max="1" width="6.28515625" customWidth="1"/>
    <col min="2" max="2" width="6.7109375" customWidth="1"/>
    <col min="3" max="3" width="14.7109375" bestFit="1" customWidth="1"/>
    <col min="4" max="4" width="23.28515625" bestFit="1" customWidth="1"/>
    <col min="5" max="5" width="4.5703125" customWidth="1"/>
    <col min="6" max="14" width="14.28515625" customWidth="1"/>
  </cols>
  <sheetData>
    <row r="1" spans="3:11" ht="19.5" thickBot="1">
      <c r="G1" s="46" t="s">
        <v>29</v>
      </c>
      <c r="H1" s="47"/>
      <c r="I1" s="47"/>
      <c r="J1" s="48"/>
    </row>
    <row r="2" spans="3:11" ht="15.75" thickBot="1"/>
    <row r="3" spans="3:11" ht="15.75" thickBot="1">
      <c r="C3" s="33" t="s">
        <v>27</v>
      </c>
      <c r="D3" s="34" t="s">
        <v>28</v>
      </c>
      <c r="F3" t="s">
        <v>30</v>
      </c>
    </row>
    <row r="4" spans="3:11" ht="15.75" thickBot="1">
      <c r="C4" s="32">
        <v>1400</v>
      </c>
      <c r="D4" s="32">
        <v>245</v>
      </c>
    </row>
    <row r="5" spans="3:11">
      <c r="C5" s="31">
        <v>1600</v>
      </c>
      <c r="D5" s="31">
        <v>312</v>
      </c>
      <c r="F5" s="38" t="s">
        <v>31</v>
      </c>
      <c r="G5" s="38"/>
    </row>
    <row r="6" spans="3:11">
      <c r="C6" s="31">
        <v>1700</v>
      </c>
      <c r="D6" s="31">
        <v>279</v>
      </c>
      <c r="F6" s="35" t="s">
        <v>32</v>
      </c>
      <c r="G6" s="35">
        <v>0.76211371321625765</v>
      </c>
    </row>
    <row r="7" spans="3:11">
      <c r="C7" s="31">
        <v>1875</v>
      </c>
      <c r="D7" s="31">
        <v>308</v>
      </c>
      <c r="F7" s="35" t="s">
        <v>33</v>
      </c>
      <c r="G7" s="35">
        <v>0.58081731187227226</v>
      </c>
    </row>
    <row r="8" spans="3:11">
      <c r="C8" s="31">
        <v>1100</v>
      </c>
      <c r="D8" s="31">
        <v>199</v>
      </c>
      <c r="F8" s="35" t="s">
        <v>34</v>
      </c>
      <c r="G8" s="35">
        <v>0.52841947585630633</v>
      </c>
    </row>
    <row r="9" spans="3:11">
      <c r="C9" s="31">
        <v>1550</v>
      </c>
      <c r="D9" s="31">
        <v>219</v>
      </c>
      <c r="F9" s="35" t="s">
        <v>35</v>
      </c>
      <c r="G9" s="35">
        <v>41.330323650299405</v>
      </c>
    </row>
    <row r="10" spans="3:11" ht="15.75" thickBot="1">
      <c r="C10" s="31">
        <v>2350</v>
      </c>
      <c r="D10" s="31">
        <v>405</v>
      </c>
      <c r="F10" s="36" t="s">
        <v>36</v>
      </c>
      <c r="G10" s="36">
        <v>10</v>
      </c>
    </row>
    <row r="11" spans="3:11">
      <c r="C11" s="31">
        <v>2450</v>
      </c>
      <c r="D11" s="31">
        <v>324</v>
      </c>
    </row>
    <row r="12" spans="3:11" ht="15.75" thickBot="1">
      <c r="C12" s="31">
        <v>1425</v>
      </c>
      <c r="D12" s="31">
        <v>319</v>
      </c>
      <c r="F12" t="s">
        <v>37</v>
      </c>
    </row>
    <row r="13" spans="3:11">
      <c r="C13" s="31">
        <v>1700</v>
      </c>
      <c r="D13" s="31">
        <v>255</v>
      </c>
      <c r="F13" s="37"/>
      <c r="G13" s="37" t="s">
        <v>42</v>
      </c>
      <c r="H13" s="37" t="s">
        <v>43</v>
      </c>
      <c r="I13" s="37" t="s">
        <v>44</v>
      </c>
      <c r="J13" s="37" t="s">
        <v>45</v>
      </c>
      <c r="K13" s="37" t="s">
        <v>46</v>
      </c>
    </row>
    <row r="14" spans="3:11">
      <c r="F14" s="35" t="s">
        <v>38</v>
      </c>
      <c r="G14" s="35">
        <v>1</v>
      </c>
      <c r="H14" s="35">
        <v>18934.934775692011</v>
      </c>
      <c r="I14" s="35">
        <v>18934.934775692011</v>
      </c>
      <c r="J14" s="35">
        <v>11.084757616617857</v>
      </c>
      <c r="K14" s="35">
        <v>1.0394016376015495E-2</v>
      </c>
    </row>
    <row r="15" spans="3:11">
      <c r="F15" s="35" t="s">
        <v>39</v>
      </c>
      <c r="G15" s="35">
        <v>8</v>
      </c>
      <c r="H15" s="35">
        <v>13665.565224307988</v>
      </c>
      <c r="I15" s="35">
        <v>1708.1956530384984</v>
      </c>
      <c r="J15" s="35"/>
      <c r="K15" s="35"/>
    </row>
    <row r="16" spans="3:11" ht="15.75" thickBot="1">
      <c r="F16" s="36" t="s">
        <v>40</v>
      </c>
      <c r="G16" s="36">
        <v>9</v>
      </c>
      <c r="H16" s="36">
        <v>32600.5</v>
      </c>
      <c r="I16" s="36"/>
      <c r="J16" s="36"/>
      <c r="K16" s="36"/>
    </row>
    <row r="17" spans="6:14" ht="15.75" thickBot="1"/>
    <row r="18" spans="6:14">
      <c r="F18" s="37"/>
      <c r="G18" s="37" t="s">
        <v>47</v>
      </c>
      <c r="H18" s="37" t="s">
        <v>35</v>
      </c>
      <c r="I18" s="37" t="s">
        <v>48</v>
      </c>
      <c r="J18" s="37" t="s">
        <v>49</v>
      </c>
      <c r="K18" s="37" t="s">
        <v>50</v>
      </c>
      <c r="L18" s="37" t="s">
        <v>51</v>
      </c>
      <c r="M18" s="37" t="s">
        <v>52</v>
      </c>
      <c r="N18" s="37" t="s">
        <v>53</v>
      </c>
    </row>
    <row r="19" spans="6:14">
      <c r="F19" s="35" t="s">
        <v>41</v>
      </c>
      <c r="G19" s="35">
        <v>98.248329621380833</v>
      </c>
      <c r="H19" s="35">
        <v>58.033478584711453</v>
      </c>
      <c r="I19" s="35">
        <v>1.6929595126366201</v>
      </c>
      <c r="J19" s="35">
        <v>0.12891881585496773</v>
      </c>
      <c r="K19" s="35">
        <v>-35.577111975246254</v>
      </c>
      <c r="L19" s="35">
        <v>232.07377121800792</v>
      </c>
      <c r="M19" s="35">
        <v>-35.577111975246254</v>
      </c>
      <c r="N19" s="35">
        <v>232.07377121800792</v>
      </c>
    </row>
    <row r="20" spans="6:14" ht="15.75" thickBot="1">
      <c r="F20" s="36" t="s">
        <v>27</v>
      </c>
      <c r="G20" s="36">
        <v>0.10976773783009863</v>
      </c>
      <c r="H20" s="36">
        <v>3.296944326214666E-2</v>
      </c>
      <c r="I20" s="36">
        <v>3.3293779624154802</v>
      </c>
      <c r="J20" s="36">
        <v>1.0394016376015495E-2</v>
      </c>
      <c r="K20" s="36">
        <v>3.3740065332209274E-2</v>
      </c>
      <c r="L20" s="36">
        <v>0.18579541032798799</v>
      </c>
      <c r="M20" s="36">
        <v>3.3740065332209274E-2</v>
      </c>
      <c r="N20" s="36">
        <v>0.18579541032798799</v>
      </c>
    </row>
    <row r="24" spans="6:14">
      <c r="F24" t="s">
        <v>57</v>
      </c>
      <c r="K24" t="s">
        <v>62</v>
      </c>
    </row>
    <row r="25" spans="6:14" ht="15.75" thickBot="1"/>
    <row r="26" spans="6:14">
      <c r="F26" s="37" t="s">
        <v>58</v>
      </c>
      <c r="G26" s="37" t="s">
        <v>59</v>
      </c>
      <c r="H26" s="37" t="s">
        <v>60</v>
      </c>
      <c r="I26" s="37" t="s">
        <v>61</v>
      </c>
      <c r="K26" s="37" t="s">
        <v>63</v>
      </c>
      <c r="L26" s="37" t="s">
        <v>28</v>
      </c>
    </row>
    <row r="27" spans="6:14">
      <c r="F27" s="35">
        <v>1</v>
      </c>
      <c r="G27" s="35">
        <v>251.92316258351892</v>
      </c>
      <c r="H27" s="35">
        <v>-6.9231625835189163</v>
      </c>
      <c r="I27" s="35">
        <v>-0.17766913410177493</v>
      </c>
      <c r="K27" s="35">
        <v>5</v>
      </c>
      <c r="L27" s="35">
        <v>199</v>
      </c>
    </row>
    <row r="28" spans="6:14">
      <c r="F28" s="35">
        <v>2</v>
      </c>
      <c r="G28" s="35">
        <v>273.87671014953867</v>
      </c>
      <c r="H28" s="35">
        <v>38.123289850461333</v>
      </c>
      <c r="I28" s="35">
        <v>0.97835805748182925</v>
      </c>
      <c r="K28" s="35">
        <v>15</v>
      </c>
      <c r="L28" s="35">
        <v>219</v>
      </c>
    </row>
    <row r="29" spans="6:14">
      <c r="F29" s="35">
        <v>3</v>
      </c>
      <c r="G29" s="35">
        <v>284.8534839325485</v>
      </c>
      <c r="H29" s="35">
        <v>-5.8534839325484995</v>
      </c>
      <c r="I29" s="35">
        <v>-0.15021796891644565</v>
      </c>
      <c r="K29" s="35">
        <v>25</v>
      </c>
      <c r="L29" s="35">
        <v>245</v>
      </c>
    </row>
    <row r="30" spans="6:14">
      <c r="F30" s="35">
        <v>4</v>
      </c>
      <c r="G30" s="35">
        <v>304.06283805281578</v>
      </c>
      <c r="H30" s="35">
        <v>3.9371619471842223</v>
      </c>
      <c r="I30" s="35">
        <v>0.10103939428490638</v>
      </c>
      <c r="K30" s="35">
        <v>35</v>
      </c>
      <c r="L30" s="35">
        <v>255</v>
      </c>
    </row>
    <row r="31" spans="6:14">
      <c r="F31" s="35">
        <v>5</v>
      </c>
      <c r="G31" s="35">
        <v>218.99284123448933</v>
      </c>
      <c r="H31" s="35">
        <v>-19.992841234489333</v>
      </c>
      <c r="I31" s="35">
        <v>-0.51307632133644154</v>
      </c>
      <c r="K31" s="35">
        <v>45</v>
      </c>
      <c r="L31" s="35">
        <v>279</v>
      </c>
    </row>
    <row r="32" spans="6:14">
      <c r="F32" s="35">
        <v>6</v>
      </c>
      <c r="G32" s="35">
        <v>268.38832325803372</v>
      </c>
      <c r="H32" s="35">
        <v>-49.388323258033722</v>
      </c>
      <c r="I32" s="35">
        <v>-1.2674526305192364</v>
      </c>
      <c r="K32" s="35">
        <v>55</v>
      </c>
      <c r="L32" s="35">
        <v>308</v>
      </c>
    </row>
    <row r="33" spans="6:12">
      <c r="F33" s="35">
        <v>7</v>
      </c>
      <c r="G33" s="35">
        <v>356.20251352211261</v>
      </c>
      <c r="H33" s="35">
        <v>48.797486477887389</v>
      </c>
      <c r="I33" s="35">
        <v>1.2522899851447109</v>
      </c>
      <c r="K33" s="35">
        <v>65</v>
      </c>
      <c r="L33" s="35">
        <v>312</v>
      </c>
    </row>
    <row r="34" spans="6:12">
      <c r="F34" s="35">
        <v>8</v>
      </c>
      <c r="G34" s="35">
        <v>367.1792873051225</v>
      </c>
      <c r="H34" s="35">
        <v>-43.1792873051225</v>
      </c>
      <c r="I34" s="35">
        <v>-1.1081101294509148</v>
      </c>
      <c r="K34" s="35">
        <v>75</v>
      </c>
      <c r="L34" s="35">
        <v>319</v>
      </c>
    </row>
    <row r="35" spans="6:12">
      <c r="F35" s="35">
        <v>9</v>
      </c>
      <c r="G35" s="35">
        <v>254.66735602927139</v>
      </c>
      <c r="H35" s="35">
        <v>64.332643970728611</v>
      </c>
      <c r="I35" s="35">
        <v>1.6509687604284893</v>
      </c>
      <c r="K35" s="35">
        <v>85</v>
      </c>
      <c r="L35" s="35">
        <v>324</v>
      </c>
    </row>
    <row r="36" spans="6:12" ht="15.75" thickBot="1">
      <c r="F36" s="36">
        <v>10</v>
      </c>
      <c r="G36" s="36">
        <v>284.8534839325485</v>
      </c>
      <c r="H36" s="36">
        <v>-29.8534839325485</v>
      </c>
      <c r="I36" s="36">
        <v>-0.7661300130151204</v>
      </c>
      <c r="K36" s="36">
        <v>95</v>
      </c>
      <c r="L36" s="36">
        <v>405</v>
      </c>
    </row>
  </sheetData>
  <sortState xmlns:xlrd2="http://schemas.microsoft.com/office/spreadsheetml/2017/richdata2" ref="L27:L36">
    <sortCondition ref="L27"/>
  </sortState>
  <mergeCells count="1">
    <mergeCell ref="G1:J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B111-2A1C-466D-9825-C27B07684B60}">
  <dimension ref="A1"/>
  <sheetViews>
    <sheetView workbookViewId="0">
      <selection activeCell="P20" sqref="P20"/>
    </sheetView>
  </sheetViews>
  <sheetFormatPr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8E543-97FD-4AE3-A269-FC4B13D66779}">
  <dimension ref="C1:N41"/>
  <sheetViews>
    <sheetView workbookViewId="0">
      <selection activeCell="M44" sqref="M44"/>
    </sheetView>
  </sheetViews>
  <sheetFormatPr defaultRowHeight="15"/>
  <cols>
    <col min="1" max="1" width="6.28515625" customWidth="1"/>
    <col min="2" max="2" width="6.7109375" customWidth="1"/>
    <col min="3" max="3" width="14.7109375" bestFit="1" customWidth="1"/>
    <col min="4" max="4" width="23.28515625" bestFit="1" customWidth="1"/>
    <col min="5" max="5" width="4.5703125" customWidth="1"/>
    <col min="6" max="6" width="15" customWidth="1"/>
    <col min="7" max="14" width="14.28515625" customWidth="1"/>
  </cols>
  <sheetData>
    <row r="1" spans="3:11" ht="15.75" customHeight="1" thickBot="1">
      <c r="G1" s="46" t="s">
        <v>29</v>
      </c>
      <c r="H1" s="47"/>
      <c r="I1" s="47"/>
      <c r="J1" s="48"/>
    </row>
    <row r="2" spans="3:11" ht="5.25" customHeight="1" thickBot="1"/>
    <row r="3" spans="3:11" ht="15.75" thickBot="1">
      <c r="C3" s="33" t="s">
        <v>27</v>
      </c>
      <c r="D3" s="34" t="s">
        <v>28</v>
      </c>
      <c r="F3" t="s">
        <v>30</v>
      </c>
    </row>
    <row r="4" spans="3:11" s="58" customFormat="1" ht="13.5" customHeight="1" thickBot="1">
      <c r="C4" s="7">
        <v>1400</v>
      </c>
      <c r="D4" s="7">
        <v>245</v>
      </c>
    </row>
    <row r="5" spans="3:11" ht="13.5" customHeight="1">
      <c r="C5" s="31">
        <v>1600</v>
      </c>
      <c r="D5" s="31">
        <v>312</v>
      </c>
      <c r="F5" s="38" t="s">
        <v>31</v>
      </c>
      <c r="G5" s="38"/>
    </row>
    <row r="6" spans="3:11" ht="13.5" customHeight="1">
      <c r="C6" s="31">
        <v>1700</v>
      </c>
      <c r="D6" s="31">
        <v>279</v>
      </c>
      <c r="F6" s="35" t="s">
        <v>32</v>
      </c>
      <c r="G6" s="60">
        <v>0.76211371321625765</v>
      </c>
    </row>
    <row r="7" spans="3:11" ht="13.5" customHeight="1">
      <c r="C7" s="31">
        <v>1875</v>
      </c>
      <c r="D7" s="31">
        <v>308</v>
      </c>
      <c r="F7" s="35" t="s">
        <v>33</v>
      </c>
      <c r="G7" s="60">
        <v>0.58081731187227226</v>
      </c>
    </row>
    <row r="8" spans="3:11" ht="13.5" customHeight="1">
      <c r="C8" s="31">
        <v>1100</v>
      </c>
      <c r="D8" s="31">
        <v>199</v>
      </c>
      <c r="F8" s="35" t="s">
        <v>34</v>
      </c>
      <c r="G8" s="60">
        <v>0.52841947585630633</v>
      </c>
    </row>
    <row r="9" spans="3:11" ht="13.5" customHeight="1">
      <c r="C9" s="31">
        <v>1550</v>
      </c>
      <c r="D9" s="31">
        <v>219</v>
      </c>
      <c r="F9" s="35" t="s">
        <v>35</v>
      </c>
      <c r="G9" s="60">
        <v>41.330323650299405</v>
      </c>
      <c r="H9" s="42">
        <f>SQRT(Residua_SS/df)</f>
        <v>41.330323650299405</v>
      </c>
      <c r="I9" s="64">
        <f>SQRT(Resid_MS)</f>
        <v>41.330323650299405</v>
      </c>
    </row>
    <row r="10" spans="3:11" ht="13.5" customHeight="1" thickBot="1">
      <c r="C10" s="31">
        <v>2350</v>
      </c>
      <c r="D10" s="31">
        <v>405</v>
      </c>
      <c r="F10" s="36" t="s">
        <v>36</v>
      </c>
      <c r="G10" s="61">
        <v>10</v>
      </c>
    </row>
    <row r="11" spans="3:11" ht="13.5" customHeight="1">
      <c r="C11" s="31">
        <v>2450</v>
      </c>
      <c r="D11" s="31">
        <v>324</v>
      </c>
    </row>
    <row r="12" spans="3:11" s="1" customFormat="1" ht="13.5" customHeight="1" thickBot="1">
      <c r="C12" s="59">
        <v>1425</v>
      </c>
      <c r="D12" s="59">
        <v>319</v>
      </c>
      <c r="F12" s="1" t="s">
        <v>37</v>
      </c>
    </row>
    <row r="13" spans="3:11" ht="13.5" customHeight="1">
      <c r="C13" s="31">
        <v>1700</v>
      </c>
      <c r="D13" s="31">
        <v>255</v>
      </c>
      <c r="F13" s="37"/>
      <c r="G13" s="37" t="s">
        <v>42</v>
      </c>
      <c r="H13" s="37" t="s">
        <v>43</v>
      </c>
      <c r="I13" s="37" t="s">
        <v>44</v>
      </c>
      <c r="J13" s="37" t="s">
        <v>45</v>
      </c>
      <c r="K13" s="37" t="s">
        <v>46</v>
      </c>
    </row>
    <row r="14" spans="3:11" ht="15.75" thickBot="1">
      <c r="F14" s="35" t="s">
        <v>38</v>
      </c>
      <c r="G14" s="35">
        <v>1</v>
      </c>
      <c r="H14" s="35">
        <v>18934.934775692011</v>
      </c>
      <c r="I14" s="35">
        <v>18934.934775692011</v>
      </c>
      <c r="J14" s="35">
        <v>11.084757616617857</v>
      </c>
      <c r="K14" s="35">
        <v>1.0394016376015495E-2</v>
      </c>
    </row>
    <row r="15" spans="3:11" ht="15.75" thickBot="1">
      <c r="C15" s="55" t="s">
        <v>64</v>
      </c>
      <c r="D15" s="56"/>
      <c r="F15" s="35" t="s">
        <v>39</v>
      </c>
      <c r="G15" s="42">
        <v>8</v>
      </c>
      <c r="H15" s="42">
        <v>13665.565224307988</v>
      </c>
      <c r="I15" s="64">
        <v>1708.1956530384984</v>
      </c>
      <c r="J15" s="35"/>
      <c r="K15" s="35"/>
    </row>
    <row r="16" spans="3:11" ht="15.75" thickBot="1">
      <c r="C16" s="53">
        <f>(C4-AVERAGE($C$4:$C$13))^2</f>
        <v>99225</v>
      </c>
      <c r="D16" s="54">
        <f>SQRT(SUM(C16:C25))</f>
        <v>1253.594830876388</v>
      </c>
      <c r="F16" s="36" t="s">
        <v>40</v>
      </c>
      <c r="G16" s="36">
        <v>9</v>
      </c>
      <c r="H16" s="36">
        <v>32600.5</v>
      </c>
      <c r="I16" s="36"/>
      <c r="J16" s="36"/>
      <c r="K16" s="36"/>
    </row>
    <row r="17" spans="3:14" s="1" customFormat="1" ht="12.75" customHeight="1" thickBot="1">
      <c r="C17" s="59">
        <f t="shared" ref="C17:C25" si="0">(C5-AVERAGE($C$4:$C$13))^2</f>
        <v>13225</v>
      </c>
    </row>
    <row r="18" spans="3:14">
      <c r="C18" s="31">
        <f t="shared" si="0"/>
        <v>225</v>
      </c>
      <c r="F18" s="37"/>
      <c r="G18" s="37" t="s">
        <v>47</v>
      </c>
      <c r="H18" s="37" t="s">
        <v>35</v>
      </c>
      <c r="I18" s="37" t="s">
        <v>48</v>
      </c>
      <c r="J18" s="37" t="s">
        <v>49</v>
      </c>
      <c r="K18" s="37" t="s">
        <v>50</v>
      </c>
      <c r="L18" s="37" t="s">
        <v>51</v>
      </c>
      <c r="M18" s="37" t="s">
        <v>52</v>
      </c>
      <c r="N18" s="37" t="s">
        <v>53</v>
      </c>
    </row>
    <row r="19" spans="3:14">
      <c r="C19" s="31">
        <f t="shared" si="0"/>
        <v>25600</v>
      </c>
      <c r="F19" s="35" t="s">
        <v>41</v>
      </c>
      <c r="G19" s="35">
        <v>98.248329621380833</v>
      </c>
      <c r="H19" s="35">
        <v>58.033478584711453</v>
      </c>
      <c r="I19" s="35">
        <v>1.6929595126366201</v>
      </c>
      <c r="J19" s="35">
        <v>0.12891881585496773</v>
      </c>
      <c r="K19" s="35">
        <v>-35.577111975246254</v>
      </c>
      <c r="L19" s="35">
        <v>232.07377121800792</v>
      </c>
      <c r="M19" s="35">
        <v>-35.577111975246254</v>
      </c>
      <c r="N19" s="35">
        <v>232.07377121800792</v>
      </c>
    </row>
    <row r="20" spans="3:14" ht="15.75" thickBot="1">
      <c r="C20" s="31">
        <f t="shared" si="0"/>
        <v>378225</v>
      </c>
      <c r="F20" s="36" t="s">
        <v>27</v>
      </c>
      <c r="G20" s="36">
        <v>0.10976773783009863</v>
      </c>
      <c r="H20" s="36">
        <v>3.296944326214666E-2</v>
      </c>
      <c r="I20" s="63">
        <v>3.3293779624154802</v>
      </c>
      <c r="J20" s="36">
        <v>1.0394016376015495E-2</v>
      </c>
      <c r="K20" s="36">
        <v>3.3740065332209274E-2</v>
      </c>
      <c r="L20" s="36">
        <v>0.18579541032798799</v>
      </c>
      <c r="M20" s="36">
        <v>3.3740065332209274E-2</v>
      </c>
      <c r="N20" s="36">
        <v>0.18579541032798799</v>
      </c>
    </row>
    <row r="21" spans="3:14">
      <c r="C21" s="31">
        <f t="shared" si="0"/>
        <v>27225</v>
      </c>
      <c r="H21" s="57">
        <f>Standard_Error/SSX</f>
        <v>3.2969443262146653E-2</v>
      </c>
    </row>
    <row r="22" spans="3:14">
      <c r="C22" s="31">
        <f t="shared" si="0"/>
        <v>403225</v>
      </c>
      <c r="N22" s="62" t="s">
        <v>65</v>
      </c>
    </row>
    <row r="23" spans="3:14">
      <c r="C23" s="31">
        <f t="shared" si="0"/>
        <v>540225</v>
      </c>
      <c r="N23" s="62">
        <f>_xlfn.T.INV.2T(0.05, 8)</f>
        <v>2.3060041352041671</v>
      </c>
    </row>
    <row r="24" spans="3:14">
      <c r="C24" s="31">
        <f t="shared" si="0"/>
        <v>84100</v>
      </c>
    </row>
    <row r="25" spans="3:14">
      <c r="C25" s="31">
        <f t="shared" si="0"/>
        <v>225</v>
      </c>
    </row>
    <row r="26" spans="3:14">
      <c r="F26" t="s">
        <v>57</v>
      </c>
      <c r="K26" t="s">
        <v>62</v>
      </c>
    </row>
    <row r="27" spans="3:14" ht="15.75" thickBot="1"/>
    <row r="28" spans="3:14">
      <c r="F28" s="37" t="s">
        <v>58</v>
      </c>
      <c r="G28" s="37" t="s">
        <v>59</v>
      </c>
      <c r="H28" s="37" t="s">
        <v>60</v>
      </c>
      <c r="I28" s="37" t="s">
        <v>61</v>
      </c>
      <c r="K28" s="37" t="s">
        <v>63</v>
      </c>
      <c r="L28" s="37" t="s">
        <v>28</v>
      </c>
    </row>
    <row r="29" spans="3:14">
      <c r="F29" s="35">
        <v>1</v>
      </c>
      <c r="G29" s="35">
        <v>251.92316258351892</v>
      </c>
      <c r="H29" s="35">
        <v>-6.9231625835189163</v>
      </c>
      <c r="I29" s="35">
        <v>-0.17766913410177493</v>
      </c>
      <c r="K29" s="35">
        <v>5</v>
      </c>
      <c r="L29" s="35">
        <v>199</v>
      </c>
    </row>
    <row r="30" spans="3:14">
      <c r="F30" s="35">
        <v>2</v>
      </c>
      <c r="G30" s="35">
        <v>273.87671014953867</v>
      </c>
      <c r="H30" s="35">
        <v>38.123289850461333</v>
      </c>
      <c r="I30" s="35">
        <v>0.97835805748182925</v>
      </c>
      <c r="K30" s="35">
        <v>15</v>
      </c>
      <c r="L30" s="35">
        <v>219</v>
      </c>
    </row>
    <row r="31" spans="3:14">
      <c r="F31" s="35">
        <v>3</v>
      </c>
      <c r="G31" s="35">
        <v>284.8534839325485</v>
      </c>
      <c r="H31" s="35">
        <v>-5.8534839325484995</v>
      </c>
      <c r="I31" s="35">
        <v>-0.15021796891644565</v>
      </c>
      <c r="K31" s="35">
        <v>25</v>
      </c>
      <c r="L31" s="35">
        <v>245</v>
      </c>
    </row>
    <row r="32" spans="3:14">
      <c r="F32" s="35">
        <v>4</v>
      </c>
      <c r="G32" s="35">
        <v>304.06283805281578</v>
      </c>
      <c r="H32" s="35">
        <v>3.9371619471842223</v>
      </c>
      <c r="I32" s="35">
        <v>0.10103939428490638</v>
      </c>
      <c r="K32" s="35">
        <v>35</v>
      </c>
      <c r="L32" s="35">
        <v>255</v>
      </c>
    </row>
    <row r="33" spans="6:12">
      <c r="F33" s="35">
        <v>5</v>
      </c>
      <c r="G33" s="35">
        <v>218.99284123448933</v>
      </c>
      <c r="H33" s="35">
        <v>-19.992841234489333</v>
      </c>
      <c r="I33" s="35">
        <v>-0.51307632133644154</v>
      </c>
      <c r="K33" s="35">
        <v>45</v>
      </c>
      <c r="L33" s="35">
        <v>279</v>
      </c>
    </row>
    <row r="34" spans="6:12">
      <c r="F34" s="35">
        <v>6</v>
      </c>
      <c r="G34" s="35">
        <v>268.38832325803372</v>
      </c>
      <c r="H34" s="35">
        <v>-49.388323258033722</v>
      </c>
      <c r="I34" s="35">
        <v>-1.2674526305192364</v>
      </c>
      <c r="K34" s="35">
        <v>55</v>
      </c>
      <c r="L34" s="35">
        <v>308</v>
      </c>
    </row>
    <row r="35" spans="6:12">
      <c r="F35" s="35">
        <v>7</v>
      </c>
      <c r="G35" s="35">
        <v>356.20251352211261</v>
      </c>
      <c r="H35" s="35">
        <v>48.797486477887389</v>
      </c>
      <c r="I35" s="35">
        <v>1.2522899851447109</v>
      </c>
      <c r="K35" s="35">
        <v>65</v>
      </c>
      <c r="L35" s="35">
        <v>312</v>
      </c>
    </row>
    <row r="36" spans="6:12">
      <c r="F36" s="35">
        <v>8</v>
      </c>
      <c r="G36" s="35">
        <v>367.1792873051225</v>
      </c>
      <c r="H36" s="35">
        <v>-43.1792873051225</v>
      </c>
      <c r="I36" s="35">
        <v>-1.1081101294509148</v>
      </c>
      <c r="K36" s="35">
        <v>75</v>
      </c>
      <c r="L36" s="35">
        <v>319</v>
      </c>
    </row>
    <row r="37" spans="6:12">
      <c r="F37" s="35">
        <v>9</v>
      </c>
      <c r="G37" s="35">
        <v>254.66735602927139</v>
      </c>
      <c r="H37" s="35">
        <v>64.332643970728611</v>
      </c>
      <c r="I37" s="35">
        <v>1.6509687604284893</v>
      </c>
      <c r="K37" s="35">
        <v>85</v>
      </c>
      <c r="L37" s="35">
        <v>324</v>
      </c>
    </row>
    <row r="38" spans="6:12" ht="15.75" thickBot="1">
      <c r="F38" s="36">
        <v>10</v>
      </c>
      <c r="G38" s="36">
        <v>284.8534839325485</v>
      </c>
      <c r="H38" s="36">
        <v>-29.8534839325485</v>
      </c>
      <c r="I38" s="36">
        <v>-0.7661300130151204</v>
      </c>
      <c r="K38" s="36">
        <v>95</v>
      </c>
      <c r="L38" s="36">
        <v>405</v>
      </c>
    </row>
    <row r="41" spans="6:12">
      <c r="I41" s="52"/>
    </row>
  </sheetData>
  <mergeCells count="2">
    <mergeCell ref="G1:J1"/>
    <mergeCell ref="C15:D15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498D-1C44-41D9-865B-999D16A07387}">
  <dimension ref="C1:N36"/>
  <sheetViews>
    <sheetView tabSelected="1" workbookViewId="0">
      <selection activeCell="K33" sqref="K33"/>
    </sheetView>
  </sheetViews>
  <sheetFormatPr defaultRowHeight="15"/>
  <cols>
    <col min="1" max="2" width="4.42578125" customWidth="1"/>
    <col min="3" max="3" width="14.7109375" bestFit="1" customWidth="1"/>
    <col min="4" max="4" width="23.28515625" bestFit="1" customWidth="1"/>
    <col min="5" max="5" width="2.85546875" customWidth="1"/>
    <col min="6" max="14" width="14.28515625" customWidth="1"/>
    <col min="15" max="15" width="7" customWidth="1"/>
  </cols>
  <sheetData>
    <row r="1" spans="3:14" ht="19.5" thickBot="1">
      <c r="G1" s="46" t="s">
        <v>68</v>
      </c>
      <c r="H1" s="47"/>
      <c r="I1" s="47"/>
      <c r="J1" s="48"/>
    </row>
    <row r="2" spans="3:14" ht="15.75" thickBot="1"/>
    <row r="3" spans="3:14" ht="15.75" thickBot="1">
      <c r="C3" s="33" t="s">
        <v>27</v>
      </c>
      <c r="D3" s="34" t="s">
        <v>28</v>
      </c>
      <c r="F3" t="s">
        <v>30</v>
      </c>
    </row>
    <row r="4" spans="3:14" ht="15.75" thickBot="1">
      <c r="C4" s="32">
        <v>1400</v>
      </c>
      <c r="D4" s="32">
        <v>245</v>
      </c>
    </row>
    <row r="5" spans="3:14">
      <c r="C5" s="31">
        <v>1600</v>
      </c>
      <c r="D5" s="31">
        <v>312</v>
      </c>
      <c r="F5" s="38" t="s">
        <v>31</v>
      </c>
      <c r="G5" s="38"/>
    </row>
    <row r="6" spans="3:14">
      <c r="C6" s="31">
        <v>1700</v>
      </c>
      <c r="D6" s="31">
        <v>279</v>
      </c>
      <c r="F6" s="35" t="s">
        <v>32</v>
      </c>
      <c r="G6" s="35">
        <v>0.76211371321625765</v>
      </c>
    </row>
    <row r="7" spans="3:14">
      <c r="C7" s="31">
        <v>1875</v>
      </c>
      <c r="D7" s="31">
        <v>308</v>
      </c>
      <c r="F7" s="35" t="s">
        <v>33</v>
      </c>
      <c r="G7" s="35">
        <v>0.58081731187227226</v>
      </c>
    </row>
    <row r="8" spans="3:14">
      <c r="C8" s="31">
        <v>1100</v>
      </c>
      <c r="D8" s="31">
        <v>199</v>
      </c>
      <c r="F8" s="35" t="s">
        <v>34</v>
      </c>
      <c r="G8" s="35">
        <v>0.52841947585630633</v>
      </c>
      <c r="J8" s="68" t="s">
        <v>66</v>
      </c>
      <c r="K8" s="68">
        <v>0.05</v>
      </c>
    </row>
    <row r="9" spans="3:14">
      <c r="C9" s="31">
        <v>1550</v>
      </c>
      <c r="D9" s="31">
        <v>219</v>
      </c>
      <c r="F9" s="35" t="s">
        <v>35</v>
      </c>
      <c r="G9" s="35">
        <v>41.330323650299405</v>
      </c>
      <c r="J9" s="69">
        <f>_xlfn.F.INV.RT(0.05, 1, 8)</f>
        <v>5.3176550715787174</v>
      </c>
      <c r="K9" s="69"/>
      <c r="L9" s="68">
        <f>_xlfn.F.INV(0.95, 1,8)</f>
        <v>5.3176550715787139</v>
      </c>
    </row>
    <row r="10" spans="3:14" ht="15.75" thickBot="1">
      <c r="C10" s="31">
        <v>2350</v>
      </c>
      <c r="D10" s="31">
        <v>405</v>
      </c>
      <c r="F10" s="36" t="s">
        <v>36</v>
      </c>
      <c r="G10" s="36">
        <v>10</v>
      </c>
    </row>
    <row r="11" spans="3:14">
      <c r="C11" s="31">
        <v>2450</v>
      </c>
      <c r="D11" s="31">
        <v>324</v>
      </c>
    </row>
    <row r="12" spans="3:14" ht="15.75" thickBot="1">
      <c r="C12" s="31">
        <v>1425</v>
      </c>
      <c r="D12" s="31">
        <v>319</v>
      </c>
      <c r="F12" t="s">
        <v>37</v>
      </c>
      <c r="J12" s="65">
        <f>MSR/MSE</f>
        <v>11.084757616617857</v>
      </c>
      <c r="K12" s="67">
        <f>_xlfn.F.DIST.RT(11.0847576166179, 1, 8)</f>
        <v>1.0394016376015398E-2</v>
      </c>
    </row>
    <row r="13" spans="3:14">
      <c r="C13" s="31">
        <v>1700</v>
      </c>
      <c r="D13" s="31">
        <v>255</v>
      </c>
      <c r="F13" s="37"/>
      <c r="G13" s="37" t="s">
        <v>42</v>
      </c>
      <c r="H13" s="37" t="s">
        <v>43</v>
      </c>
      <c r="I13" s="37" t="s">
        <v>44</v>
      </c>
      <c r="J13" s="37" t="s">
        <v>45</v>
      </c>
      <c r="K13" s="37" t="s">
        <v>46</v>
      </c>
    </row>
    <row r="14" spans="3:14">
      <c r="F14" s="35" t="s">
        <v>38</v>
      </c>
      <c r="G14" s="35">
        <v>1</v>
      </c>
      <c r="H14" s="35">
        <v>18934.934775692011</v>
      </c>
      <c r="I14" s="66">
        <v>18934.934775692011</v>
      </c>
      <c r="J14" s="66">
        <v>11.084757616617857</v>
      </c>
      <c r="K14" s="45">
        <v>1.0394016376015495E-2</v>
      </c>
      <c r="L14" s="70" t="s">
        <v>67</v>
      </c>
      <c r="M14" s="70"/>
      <c r="N14" s="70"/>
    </row>
    <row r="15" spans="3:14">
      <c r="F15" s="35" t="s">
        <v>39</v>
      </c>
      <c r="G15" s="35">
        <v>8</v>
      </c>
      <c r="H15" s="35">
        <v>13665.565224307988</v>
      </c>
      <c r="I15" s="66">
        <v>1708.1956530384984</v>
      </c>
      <c r="J15" s="35"/>
      <c r="K15" s="35"/>
    </row>
    <row r="16" spans="3:14" ht="15.75" thickBot="1">
      <c r="F16" s="36" t="s">
        <v>40</v>
      </c>
      <c r="G16" s="36">
        <v>9</v>
      </c>
      <c r="H16" s="36">
        <v>32600.5</v>
      </c>
      <c r="I16" s="36"/>
      <c r="J16" s="36"/>
      <c r="K16" s="36"/>
    </row>
    <row r="17" spans="6:14" ht="15.75" thickBot="1"/>
    <row r="18" spans="6:14">
      <c r="F18" s="37"/>
      <c r="G18" s="37" t="s">
        <v>47</v>
      </c>
      <c r="H18" s="37" t="s">
        <v>35</v>
      </c>
      <c r="I18" s="37" t="s">
        <v>48</v>
      </c>
      <c r="J18" s="37" t="s">
        <v>49</v>
      </c>
      <c r="K18" s="37" t="s">
        <v>50</v>
      </c>
      <c r="L18" s="37" t="s">
        <v>51</v>
      </c>
      <c r="M18" s="37" t="s">
        <v>52</v>
      </c>
      <c r="N18" s="37" t="s">
        <v>53</v>
      </c>
    </row>
    <row r="19" spans="6:14">
      <c r="F19" s="35" t="s">
        <v>41</v>
      </c>
      <c r="G19" s="35">
        <v>98.248329621380833</v>
      </c>
      <c r="H19" s="35">
        <v>58.033478584711453</v>
      </c>
      <c r="I19" s="35">
        <v>1.6929595126366201</v>
      </c>
      <c r="J19" s="35">
        <v>0.12891881585496773</v>
      </c>
      <c r="K19" s="35">
        <v>-35.577111975246254</v>
      </c>
      <c r="L19" s="35">
        <v>232.07377121800792</v>
      </c>
      <c r="M19" s="35">
        <v>-35.577111975246254</v>
      </c>
      <c r="N19" s="35">
        <v>232.07377121800792</v>
      </c>
    </row>
    <row r="20" spans="6:14" ht="15.75" thickBot="1">
      <c r="F20" s="36" t="s">
        <v>27</v>
      </c>
      <c r="G20" s="36">
        <v>0.10976773783009863</v>
      </c>
      <c r="H20" s="36">
        <v>3.296944326214666E-2</v>
      </c>
      <c r="I20" s="36">
        <v>3.3293779624154802</v>
      </c>
      <c r="J20" s="36">
        <v>1.0394016376015495E-2</v>
      </c>
      <c r="K20" s="36">
        <v>3.3740065332209274E-2</v>
      </c>
      <c r="L20" s="36">
        <v>0.18579541032798799</v>
      </c>
      <c r="M20" s="36">
        <v>3.3740065332209274E-2</v>
      </c>
      <c r="N20" s="36">
        <v>0.18579541032798799</v>
      </c>
    </row>
    <row r="24" spans="6:14">
      <c r="F24" t="s">
        <v>57</v>
      </c>
      <c r="K24" t="s">
        <v>62</v>
      </c>
    </row>
    <row r="25" spans="6:14" ht="15.75" thickBot="1"/>
    <row r="26" spans="6:14">
      <c r="F26" s="37" t="s">
        <v>58</v>
      </c>
      <c r="G26" s="37" t="s">
        <v>59</v>
      </c>
      <c r="H26" s="37" t="s">
        <v>60</v>
      </c>
      <c r="I26" s="37" t="s">
        <v>61</v>
      </c>
      <c r="K26" s="37" t="s">
        <v>63</v>
      </c>
      <c r="L26" s="37" t="s">
        <v>28</v>
      </c>
    </row>
    <row r="27" spans="6:14">
      <c r="F27" s="35">
        <v>1</v>
      </c>
      <c r="G27" s="35">
        <v>251.92316258351892</v>
      </c>
      <c r="H27" s="35">
        <v>-6.9231625835189163</v>
      </c>
      <c r="I27" s="35">
        <v>-0.17766913410177493</v>
      </c>
      <c r="K27" s="35">
        <v>5</v>
      </c>
      <c r="L27" s="35">
        <v>199</v>
      </c>
    </row>
    <row r="28" spans="6:14">
      <c r="F28" s="35">
        <v>2</v>
      </c>
      <c r="G28" s="35">
        <v>273.87671014953867</v>
      </c>
      <c r="H28" s="35">
        <v>38.123289850461333</v>
      </c>
      <c r="I28" s="35">
        <v>0.97835805748182925</v>
      </c>
      <c r="K28" s="35">
        <v>15</v>
      </c>
      <c r="L28" s="35">
        <v>219</v>
      </c>
    </row>
    <row r="29" spans="6:14">
      <c r="F29" s="35">
        <v>3</v>
      </c>
      <c r="G29" s="35">
        <v>284.8534839325485</v>
      </c>
      <c r="H29" s="35">
        <v>-5.8534839325484995</v>
      </c>
      <c r="I29" s="35">
        <v>-0.15021796891644565</v>
      </c>
      <c r="K29" s="35">
        <v>25</v>
      </c>
      <c r="L29" s="35">
        <v>245</v>
      </c>
    </row>
    <row r="30" spans="6:14">
      <c r="F30" s="35">
        <v>4</v>
      </c>
      <c r="G30" s="35">
        <v>304.06283805281578</v>
      </c>
      <c r="H30" s="35">
        <v>3.9371619471842223</v>
      </c>
      <c r="I30" s="35">
        <v>0.10103939428490638</v>
      </c>
      <c r="K30" s="35">
        <v>35</v>
      </c>
      <c r="L30" s="35">
        <v>255</v>
      </c>
    </row>
    <row r="31" spans="6:14">
      <c r="F31" s="35">
        <v>5</v>
      </c>
      <c r="G31" s="35">
        <v>218.99284123448933</v>
      </c>
      <c r="H31" s="35">
        <v>-19.992841234489333</v>
      </c>
      <c r="I31" s="35">
        <v>-0.51307632133644154</v>
      </c>
      <c r="K31" s="35">
        <v>45</v>
      </c>
      <c r="L31" s="35">
        <v>279</v>
      </c>
    </row>
    <row r="32" spans="6:14">
      <c r="F32" s="35">
        <v>6</v>
      </c>
      <c r="G32" s="35">
        <v>268.38832325803372</v>
      </c>
      <c r="H32" s="35">
        <v>-49.388323258033722</v>
      </c>
      <c r="I32" s="35">
        <v>-1.2674526305192364</v>
      </c>
      <c r="K32" s="35">
        <v>55</v>
      </c>
      <c r="L32" s="35">
        <v>308</v>
      </c>
    </row>
    <row r="33" spans="6:12">
      <c r="F33" s="35">
        <v>7</v>
      </c>
      <c r="G33" s="35">
        <v>356.20251352211261</v>
      </c>
      <c r="H33" s="35">
        <v>48.797486477887389</v>
      </c>
      <c r="I33" s="35">
        <v>1.2522899851447109</v>
      </c>
      <c r="K33" s="35">
        <v>65</v>
      </c>
      <c r="L33" s="35">
        <v>312</v>
      </c>
    </row>
    <row r="34" spans="6:12">
      <c r="F34" s="35">
        <v>8</v>
      </c>
      <c r="G34" s="35">
        <v>367.1792873051225</v>
      </c>
      <c r="H34" s="35">
        <v>-43.1792873051225</v>
      </c>
      <c r="I34" s="35">
        <v>-1.1081101294509148</v>
      </c>
      <c r="K34" s="35">
        <v>75</v>
      </c>
      <c r="L34" s="35">
        <v>319</v>
      </c>
    </row>
    <row r="35" spans="6:12">
      <c r="F35" s="35">
        <v>9</v>
      </c>
      <c r="G35" s="35">
        <v>254.66735602927139</v>
      </c>
      <c r="H35" s="35">
        <v>64.332643970728611</v>
      </c>
      <c r="I35" s="35">
        <v>1.6509687604284893</v>
      </c>
      <c r="K35" s="35">
        <v>85</v>
      </c>
      <c r="L35" s="35">
        <v>324</v>
      </c>
    </row>
    <row r="36" spans="6:12" ht="15.75" thickBot="1">
      <c r="F36" s="36">
        <v>10</v>
      </c>
      <c r="G36" s="36">
        <v>284.8534839325485</v>
      </c>
      <c r="H36" s="36">
        <v>-29.8534839325485</v>
      </c>
      <c r="I36" s="36">
        <v>-0.7661300130151204</v>
      </c>
      <c r="K36" s="36">
        <v>95</v>
      </c>
      <c r="L36" s="36">
        <v>405</v>
      </c>
    </row>
  </sheetData>
  <mergeCells count="3">
    <mergeCell ref="G1:J1"/>
    <mergeCell ref="J9:K9"/>
    <mergeCell ref="L14:N1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14</vt:i4>
      </vt:variant>
    </vt:vector>
  </HeadingPairs>
  <TitlesOfParts>
    <vt:vector size="24" baseType="lpstr">
      <vt:lpstr>Regression_Analysis</vt:lpstr>
      <vt:lpstr>Regression_Analysis_Model_1</vt:lpstr>
      <vt:lpstr>Regression Analysis Model_2</vt:lpstr>
      <vt:lpstr>Regression Analysis Model_3</vt:lpstr>
      <vt:lpstr>Regression Analysis Model_4</vt:lpstr>
      <vt:lpstr>Regression Analysis Model_5</vt:lpstr>
      <vt:lpstr>Regression Analysis Model_6_1</vt:lpstr>
      <vt:lpstr>Regression Analysis Model_6_2</vt:lpstr>
      <vt:lpstr>Regression Analysis Model_7</vt:lpstr>
      <vt:lpstr>Regression Analysis Model_8</vt:lpstr>
      <vt:lpstr>df</vt:lpstr>
      <vt:lpstr>MSE</vt:lpstr>
      <vt:lpstr>MSR</vt:lpstr>
      <vt:lpstr>Resid_MS</vt:lpstr>
      <vt:lpstr>Resida_MS</vt:lpstr>
      <vt:lpstr>Residu_MS</vt:lpstr>
      <vt:lpstr>residua_MS</vt:lpstr>
      <vt:lpstr>Residua_SS</vt:lpstr>
      <vt:lpstr>Residual_S</vt:lpstr>
      <vt:lpstr>Residual_SS</vt:lpstr>
      <vt:lpstr>Residuals</vt:lpstr>
      <vt:lpstr>Residuals_SS</vt:lpstr>
      <vt:lpstr>SSX</vt:lpstr>
      <vt:lpstr>Standard_Error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2025-08-27T14:45:59Z</dcterms:created>
  <dcterms:modified xsi:type="dcterms:W3CDTF">2025-09-01T20:49:24Z</dcterms:modified>
</cp:coreProperties>
</file>
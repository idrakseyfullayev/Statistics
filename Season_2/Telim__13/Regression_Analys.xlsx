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Excel\Handex Excel\Statistics\Season_2\Telim_13\"/>
    </mc:Choice>
  </mc:AlternateContent>
  <xr:revisionPtr revIDLastSave="0" documentId="13_ncr:1_{0E67C996-E3CB-4D7E-8CC3-E165DEBEF9C6}" xr6:coauthVersionLast="45" xr6:coauthVersionMax="45" xr10:uidLastSave="{00000000-0000-0000-0000-000000000000}"/>
  <bookViews>
    <workbookView xWindow="-120" yWindow="-120" windowWidth="20730" windowHeight="11160" activeTab="2" xr2:uid="{CBD3159E-1E32-420D-A67E-19D799F698D6}"/>
  </bookViews>
  <sheets>
    <sheet name="Regression_Analysis" sheetId="1" r:id="rId1"/>
    <sheet name="Regression_Analysis_Model_1" sheetId="2" r:id="rId2"/>
    <sheet name="Regression Analysis Mode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3" l="1" a="1"/>
  <c r="K15" i="3" s="1"/>
  <c r="J12" i="3" a="1"/>
  <c r="J12" i="3" s="1"/>
  <c r="J9" i="3" a="1"/>
  <c r="J9" i="3" s="1"/>
  <c r="J6" i="3" a="1"/>
  <c r="J6" i="3" s="1"/>
  <c r="J3" i="3" a="1"/>
  <c r="J3" i="3"/>
  <c r="K3" i="3"/>
  <c r="L3" i="3"/>
  <c r="M3" i="3"/>
  <c r="N3" i="3"/>
  <c r="O3" i="3"/>
  <c r="P3" i="3"/>
  <c r="Q3" i="3"/>
  <c r="J4" i="3"/>
  <c r="K4" i="3"/>
  <c r="L4" i="3"/>
  <c r="M4" i="3"/>
  <c r="N4" i="3"/>
  <c r="O4" i="3"/>
  <c r="P4" i="3"/>
  <c r="Q4" i="3"/>
  <c r="K16" i="3" l="1"/>
  <c r="J13" i="3"/>
  <c r="J10" i="3"/>
  <c r="K9" i="3"/>
  <c r="K10" i="3"/>
  <c r="K7" i="3"/>
  <c r="J7" i="3"/>
  <c r="K6" i="3"/>
  <c r="G4" i="2"/>
  <c r="G5" i="2"/>
  <c r="G6" i="2"/>
  <c r="G7" i="2"/>
  <c r="G8" i="2"/>
  <c r="G9" i="2"/>
  <c r="G10" i="2"/>
  <c r="G3" i="2"/>
  <c r="I4" i="2" l="1"/>
  <c r="I12" i="2" s="1"/>
  <c r="F15" i="2" s="1"/>
  <c r="H15" i="2" s="1"/>
  <c r="I5" i="2"/>
  <c r="I6" i="2"/>
  <c r="I7" i="2"/>
  <c r="I8" i="2"/>
  <c r="I9" i="2"/>
  <c r="I10" i="2"/>
  <c r="I3" i="2"/>
  <c r="H12" i="2"/>
  <c r="H4" i="2"/>
  <c r="H5" i="2"/>
  <c r="H6" i="2"/>
  <c r="H7" i="2"/>
  <c r="H8" i="2"/>
  <c r="H9" i="2"/>
  <c r="H10" i="2"/>
  <c r="H3" i="2"/>
  <c r="F12" i="2"/>
  <c r="E12" i="2"/>
</calcChain>
</file>

<file path=xl/sharedStrings.xml><?xml version="1.0" encoding="utf-8"?>
<sst xmlns="http://schemas.openxmlformats.org/spreadsheetml/2006/main" count="49" uniqueCount="27">
  <si>
    <t>January</t>
  </si>
  <si>
    <t>February</t>
  </si>
  <si>
    <t>March</t>
  </si>
  <si>
    <t>April</t>
  </si>
  <si>
    <t>May</t>
  </si>
  <si>
    <t>June</t>
  </si>
  <si>
    <t>July</t>
  </si>
  <si>
    <t>August</t>
  </si>
  <si>
    <t>Xərc</t>
  </si>
  <si>
    <t>Gəlir</t>
  </si>
  <si>
    <t>(X - X_orta) * (Y- Y_orta)</t>
  </si>
  <si>
    <t>COVARİANCE</t>
  </si>
  <si>
    <t>Mean</t>
  </si>
  <si>
    <t>(X - X_orta)</t>
  </si>
  <si>
    <t>VARIANCE</t>
  </si>
  <si>
    <t>B_1</t>
  </si>
  <si>
    <t>B_0</t>
  </si>
  <si>
    <t>Proqnoz Xərc         B_0 + B_1 * X</t>
  </si>
  <si>
    <t>Regression Analysis</t>
  </si>
  <si>
    <t>Regression Analysis Model Kanonik Method</t>
  </si>
  <si>
    <t>Unique Vector</t>
  </si>
  <si>
    <t>X^T</t>
  </si>
  <si>
    <t>X^T * X</t>
  </si>
  <si>
    <t>(X^T * X)^-1</t>
  </si>
  <si>
    <t>X^T * y</t>
  </si>
  <si>
    <t>(X^T * X)^-1 *  X^T * y</t>
  </si>
  <si>
    <t>Regression Analysis Model Formula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</si>
</sst>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0" xfId="0" applyAlignment="1">
      <alignment horizontal="center"/>
    </xf>
    <xf numFmtId="0" fontId="2" fillId="0" borderId="0" xfId="0" applyFont="1" applyAlignment="1"/>
    <xf numFmtId="0" fontId="0" fillId="2" borderId="0" xfId="0" applyFill="1"/>
    <xf numFmtId="0" fontId="0" fillId="2" borderId="0" xfId="0" applyFill="1" applyAlignment="1">
      <alignment horizontal="center"/>
    </xf>
    <xf numFmtId="0" fontId="2" fillId="0" borderId="9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4" borderId="1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Regression_Analysis!$F$2</c:f>
              <c:strCache>
                <c:ptCount val="1"/>
                <c:pt idx="0">
                  <c:v>Xərc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60325" cap="rnd" cmpd="sng">
                <a:solidFill>
                  <a:schemeClr val="accent2">
                    <a:lumMod val="75000"/>
                    <a:alpha val="98000"/>
                  </a:schemeClr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317169728783901"/>
                  <c:y val="-0.269227544473607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Regression_Analysis!$E$3:$E$10</c:f>
              <c:numCache>
                <c:formatCode>General</c:formatCode>
                <c:ptCount val="8"/>
                <c:pt idx="0">
                  <c:v>1500</c:v>
                </c:pt>
                <c:pt idx="1">
                  <c:v>1600</c:v>
                </c:pt>
                <c:pt idx="2">
                  <c:v>1550</c:v>
                </c:pt>
                <c:pt idx="3">
                  <c:v>1400</c:v>
                </c:pt>
                <c:pt idx="4">
                  <c:v>1500</c:v>
                </c:pt>
                <c:pt idx="5">
                  <c:v>1600</c:v>
                </c:pt>
                <c:pt idx="6">
                  <c:v>1480</c:v>
                </c:pt>
                <c:pt idx="7">
                  <c:v>1520</c:v>
                </c:pt>
              </c:numCache>
            </c:numRef>
          </c:xVal>
          <c:yVal>
            <c:numRef>
              <c:f>Regression_Analysis!$F$3:$F$10</c:f>
              <c:numCache>
                <c:formatCode>General</c:formatCode>
                <c:ptCount val="8"/>
                <c:pt idx="0">
                  <c:v>1200</c:v>
                </c:pt>
                <c:pt idx="1">
                  <c:v>700</c:v>
                </c:pt>
                <c:pt idx="2">
                  <c:v>1500</c:v>
                </c:pt>
                <c:pt idx="3">
                  <c:v>690</c:v>
                </c:pt>
                <c:pt idx="4">
                  <c:v>750</c:v>
                </c:pt>
                <c:pt idx="5">
                  <c:v>1450</c:v>
                </c:pt>
                <c:pt idx="6">
                  <c:v>200</c:v>
                </c:pt>
                <c:pt idx="7">
                  <c:v>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A7-4B85-B14C-A9FBFC59D9EA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992059535"/>
        <c:axId val="931950031"/>
      </c:scatterChart>
      <c:valAx>
        <c:axId val="99205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950031"/>
        <c:crosses val="autoZero"/>
        <c:crossBetween val="midCat"/>
      </c:valAx>
      <c:valAx>
        <c:axId val="931950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05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Regression_Analysis_Model_1!$F$2</c:f>
              <c:strCache>
                <c:ptCount val="1"/>
                <c:pt idx="0">
                  <c:v>Xərc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Regression_Analysis_Model_1!$E$3:$E$10</c:f>
              <c:numCache>
                <c:formatCode>General</c:formatCode>
                <c:ptCount val="8"/>
                <c:pt idx="0">
                  <c:v>1500</c:v>
                </c:pt>
                <c:pt idx="1">
                  <c:v>1600</c:v>
                </c:pt>
                <c:pt idx="2">
                  <c:v>1550</c:v>
                </c:pt>
                <c:pt idx="3">
                  <c:v>1400</c:v>
                </c:pt>
                <c:pt idx="4">
                  <c:v>1500</c:v>
                </c:pt>
                <c:pt idx="5">
                  <c:v>1600</c:v>
                </c:pt>
                <c:pt idx="6">
                  <c:v>1480</c:v>
                </c:pt>
                <c:pt idx="7">
                  <c:v>1520</c:v>
                </c:pt>
              </c:numCache>
            </c:numRef>
          </c:xVal>
          <c:yVal>
            <c:numRef>
              <c:f>Regression_Analysis_Model_1!$F$3:$F$10</c:f>
              <c:numCache>
                <c:formatCode>General</c:formatCode>
                <c:ptCount val="8"/>
                <c:pt idx="0">
                  <c:v>1200</c:v>
                </c:pt>
                <c:pt idx="1">
                  <c:v>700</c:v>
                </c:pt>
                <c:pt idx="2">
                  <c:v>1500</c:v>
                </c:pt>
                <c:pt idx="3">
                  <c:v>690</c:v>
                </c:pt>
                <c:pt idx="4">
                  <c:v>750</c:v>
                </c:pt>
                <c:pt idx="5">
                  <c:v>1450</c:v>
                </c:pt>
                <c:pt idx="6">
                  <c:v>200</c:v>
                </c:pt>
                <c:pt idx="7">
                  <c:v>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04-4C2C-90A5-8428BAF7B737}"/>
            </c:ext>
          </c:extLst>
        </c:ser>
        <c:ser>
          <c:idx val="1"/>
          <c:order val="1"/>
          <c:tx>
            <c:strRef>
              <c:f>Regression_Analysis_Model_1!$G$2</c:f>
              <c:strCache>
                <c:ptCount val="1"/>
                <c:pt idx="0">
                  <c:v>Proqnoz Xərc         B_0 + B_1 * X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circle"/>
            <c:size val="9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Regression_Analysis_Model_1!$E$3:$E$10</c:f>
              <c:numCache>
                <c:formatCode>General</c:formatCode>
                <c:ptCount val="8"/>
                <c:pt idx="0">
                  <c:v>1500</c:v>
                </c:pt>
                <c:pt idx="1">
                  <c:v>1600</c:v>
                </c:pt>
                <c:pt idx="2">
                  <c:v>1550</c:v>
                </c:pt>
                <c:pt idx="3">
                  <c:v>1400</c:v>
                </c:pt>
                <c:pt idx="4">
                  <c:v>1500</c:v>
                </c:pt>
                <c:pt idx="5">
                  <c:v>1600</c:v>
                </c:pt>
                <c:pt idx="6">
                  <c:v>1480</c:v>
                </c:pt>
                <c:pt idx="7">
                  <c:v>1520</c:v>
                </c:pt>
              </c:numCache>
            </c:numRef>
          </c:xVal>
          <c:yVal>
            <c:numRef>
              <c:f>Regression_Analysis_Model_1!$G$3:$G$10</c:f>
              <c:numCache>
                <c:formatCode>General</c:formatCode>
                <c:ptCount val="8"/>
                <c:pt idx="0">
                  <c:v>837.1094710947109</c:v>
                </c:pt>
                <c:pt idx="1">
                  <c:v>1152.5256252562522</c:v>
                </c:pt>
                <c:pt idx="2">
                  <c:v>994.81754817548153</c:v>
                </c:pt>
                <c:pt idx="3">
                  <c:v>521.69331693316872</c:v>
                </c:pt>
                <c:pt idx="4">
                  <c:v>837.1094710947109</c:v>
                </c:pt>
                <c:pt idx="5">
                  <c:v>1152.5256252562522</c:v>
                </c:pt>
                <c:pt idx="6">
                  <c:v>774.0262402624021</c:v>
                </c:pt>
                <c:pt idx="7">
                  <c:v>900.19270192701879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C04-4C2C-90A5-8428BAF7B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059535"/>
        <c:axId val="931950031"/>
      </c:scatterChart>
      <c:valAx>
        <c:axId val="99205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950031"/>
        <c:crosses val="autoZero"/>
        <c:crossBetween val="midCat"/>
      </c:valAx>
      <c:valAx>
        <c:axId val="931950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05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2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1</xdr:row>
      <xdr:rowOff>190500</xdr:rowOff>
    </xdr:from>
    <xdr:to>
      <xdr:col>15</xdr:col>
      <xdr:colOff>38100</xdr:colOff>
      <xdr:row>16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D5D1AF-E7DA-46DA-8246-9F2B60F2FB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419100</xdr:colOff>
      <xdr:row>2</xdr:row>
      <xdr:rowOff>47625</xdr:rowOff>
    </xdr:from>
    <xdr:to>
      <xdr:col>17</xdr:col>
      <xdr:colOff>114300</xdr:colOff>
      <xdr:row>16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D478E5-5F95-4878-867D-1B738B312F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133351</xdr:colOff>
      <xdr:row>17</xdr:row>
      <xdr:rowOff>85725</xdr:rowOff>
    </xdr:from>
    <xdr:to>
      <xdr:col>11</xdr:col>
      <xdr:colOff>308446</xdr:colOff>
      <xdr:row>19</xdr:row>
      <xdr:rowOff>38100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8BD9AA5-201B-4400-97C7-706DF5448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00776" y="3571875"/>
          <a:ext cx="2127720" cy="333375"/>
        </a:xfrm>
        <a:prstGeom prst="rect">
          <a:avLst/>
        </a:prstGeom>
      </xdr:spPr>
    </xdr:pic>
    <xdr:clientData/>
  </xdr:twoCellAnchor>
  <xdr:twoCellAnchor editAs="oneCell">
    <xdr:from>
      <xdr:col>3</xdr:col>
      <xdr:colOff>266700</xdr:colOff>
      <xdr:row>15</xdr:row>
      <xdr:rowOff>57150</xdr:rowOff>
    </xdr:from>
    <xdr:to>
      <xdr:col>6</xdr:col>
      <xdr:colOff>876005</xdr:colOff>
      <xdr:row>18</xdr:row>
      <xdr:rowOff>161840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D1807B6-CED8-46C4-BB6C-1CF13E5CF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00275" y="3162300"/>
          <a:ext cx="2361905" cy="67619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190500</xdr:colOff>
      <xdr:row>15</xdr:row>
      <xdr:rowOff>47625</xdr:rowOff>
    </xdr:from>
    <xdr:to>
      <xdr:col>8</xdr:col>
      <xdr:colOff>56979</xdr:colOff>
      <xdr:row>17</xdr:row>
      <xdr:rowOff>47577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8D551BB-018A-4C00-AD57-2780516C6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752975" y="3152775"/>
          <a:ext cx="1371429" cy="380952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476252</xdr:colOff>
      <xdr:row>9</xdr:row>
      <xdr:rowOff>190501</xdr:rowOff>
    </xdr:from>
    <xdr:to>
      <xdr:col>7</xdr:col>
      <xdr:colOff>58270</xdr:colOff>
      <xdr:row>10</xdr:row>
      <xdr:rowOff>142875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2E9ABEB-C305-4E31-8811-2D3EB2DA0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8077" y="2143126"/>
          <a:ext cx="972668" cy="1523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409575</xdr:colOff>
      <xdr:row>12</xdr:row>
      <xdr:rowOff>19050</xdr:rowOff>
    </xdr:from>
    <xdr:to>
      <xdr:col>5</xdr:col>
      <xdr:colOff>251113</xdr:colOff>
      <xdr:row>14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C30B53-B411-406F-AB36-52C7E9B26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28775" y="2390775"/>
          <a:ext cx="1994188" cy="46672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285750</xdr:colOff>
      <xdr:row>14</xdr:row>
      <xdr:rowOff>57150</xdr:rowOff>
    </xdr:from>
    <xdr:to>
      <xdr:col>6</xdr:col>
      <xdr:colOff>75881</xdr:colOff>
      <xdr:row>20</xdr:row>
      <xdr:rowOff>161769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409ED87-6B73-4A45-A075-68F6671EA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04950" y="2809875"/>
          <a:ext cx="2552381" cy="1247619"/>
        </a:xfrm>
        <a:prstGeom prst="rect">
          <a:avLst/>
        </a:prstGeom>
      </xdr:spPr>
    </xdr:pic>
    <xdr:clientData/>
  </xdr:twoCellAnchor>
  <xdr:twoCellAnchor editAs="oneCell">
    <xdr:from>
      <xdr:col>14</xdr:col>
      <xdr:colOff>66675</xdr:colOff>
      <xdr:row>4</xdr:row>
      <xdr:rowOff>19049</xdr:rowOff>
    </xdr:from>
    <xdr:to>
      <xdr:col>17</xdr:col>
      <xdr:colOff>14719</xdr:colOff>
      <xdr:row>5</xdr:row>
      <xdr:rowOff>85724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01C1B16-D404-476C-82FF-ED17664DC6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486900" y="857249"/>
          <a:ext cx="1776844" cy="257175"/>
        </a:xfrm>
        <a:prstGeom prst="rect">
          <a:avLst/>
        </a:prstGeom>
      </xdr:spPr>
    </xdr:pic>
    <xdr:clientData/>
  </xdr:twoCellAnchor>
  <xdr:twoCellAnchor editAs="oneCell">
    <xdr:from>
      <xdr:col>11</xdr:col>
      <xdr:colOff>76200</xdr:colOff>
      <xdr:row>5</xdr:row>
      <xdr:rowOff>85724</xdr:rowOff>
    </xdr:from>
    <xdr:to>
      <xdr:col>14</xdr:col>
      <xdr:colOff>0</xdr:colOff>
      <xdr:row>6</xdr:row>
      <xdr:rowOff>139257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C5D3B7F-DEBB-4801-89F9-20B5EAD067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67625" y="1114424"/>
          <a:ext cx="1752600" cy="244033"/>
        </a:xfrm>
        <a:prstGeom prst="rect">
          <a:avLst/>
        </a:prstGeom>
      </xdr:spPr>
    </xdr:pic>
    <xdr:clientData/>
  </xdr:twoCellAnchor>
  <xdr:twoCellAnchor editAs="oneCell">
    <xdr:from>
      <xdr:col>11</xdr:col>
      <xdr:colOff>9524</xdr:colOff>
      <xdr:row>8</xdr:row>
      <xdr:rowOff>76200</xdr:rowOff>
    </xdr:from>
    <xdr:to>
      <xdr:col>14</xdr:col>
      <xdr:colOff>142875</xdr:colOff>
      <xdr:row>9</xdr:row>
      <xdr:rowOff>116541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B25B859-B457-4788-84C0-B484ADA15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600949" y="1676400"/>
          <a:ext cx="1962151" cy="230841"/>
        </a:xfrm>
        <a:prstGeom prst="rect">
          <a:avLst/>
        </a:prstGeom>
      </xdr:spPr>
    </xdr:pic>
    <xdr:clientData/>
  </xdr:twoCellAnchor>
  <xdr:twoCellAnchor editAs="oneCell">
    <xdr:from>
      <xdr:col>10</xdr:col>
      <xdr:colOff>66674</xdr:colOff>
      <xdr:row>11</xdr:row>
      <xdr:rowOff>95250</xdr:rowOff>
    </xdr:from>
    <xdr:to>
      <xdr:col>13</xdr:col>
      <xdr:colOff>67727</xdr:colOff>
      <xdr:row>12</xdr:row>
      <xdr:rowOff>123825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2BC35BB-913A-49E3-B841-1FBF5ECF2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57999" y="2276475"/>
          <a:ext cx="2020353" cy="219075"/>
        </a:xfrm>
        <a:prstGeom prst="rect">
          <a:avLst/>
        </a:prstGeom>
      </xdr:spPr>
    </xdr:pic>
    <xdr:clientData/>
  </xdr:twoCellAnchor>
  <xdr:twoCellAnchor editAs="oneCell">
    <xdr:from>
      <xdr:col>11</xdr:col>
      <xdr:colOff>19049</xdr:colOff>
      <xdr:row>14</xdr:row>
      <xdr:rowOff>47624</xdr:rowOff>
    </xdr:from>
    <xdr:to>
      <xdr:col>14</xdr:col>
      <xdr:colOff>195879</xdr:colOff>
      <xdr:row>15</xdr:row>
      <xdr:rowOff>133349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438D029-BE9C-46E6-A606-96EC1176A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43899" y="2800349"/>
          <a:ext cx="2005630" cy="276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5791B-4F08-49CC-9208-70DF2242747A}">
  <dimension ref="D1:L14"/>
  <sheetViews>
    <sheetView workbookViewId="0">
      <selection activeCell="Q20" sqref="Q20"/>
    </sheetView>
  </sheetViews>
  <sheetFormatPr defaultRowHeight="15" x14ac:dyDescent="0.25"/>
  <cols>
    <col min="2" max="2" width="10.7109375" bestFit="1" customWidth="1"/>
    <col min="4" max="4" width="10.85546875" style="2" bestFit="1" customWidth="1"/>
    <col min="5" max="6" width="7.7109375" style="1" customWidth="1"/>
  </cols>
  <sheetData>
    <row r="1" spans="4:12" ht="19.5" thickBot="1" x14ac:dyDescent="0.35">
      <c r="J1" s="22" t="s">
        <v>18</v>
      </c>
      <c r="K1" s="23"/>
      <c r="L1" s="24"/>
    </row>
    <row r="2" spans="4:12" ht="15.75" thickBot="1" x14ac:dyDescent="0.3">
      <c r="E2" s="8" t="s">
        <v>9</v>
      </c>
      <c r="F2" s="9" t="s">
        <v>8</v>
      </c>
    </row>
    <row r="3" spans="4:12" x14ac:dyDescent="0.25">
      <c r="D3" s="3" t="s">
        <v>0</v>
      </c>
      <c r="E3" s="6">
        <v>1500</v>
      </c>
      <c r="F3" s="7">
        <v>1200</v>
      </c>
    </row>
    <row r="4" spans="4:12" x14ac:dyDescent="0.25">
      <c r="D4" s="10" t="s">
        <v>1</v>
      </c>
      <c r="E4" s="6">
        <v>1600</v>
      </c>
      <c r="F4" s="7">
        <v>700</v>
      </c>
    </row>
    <row r="5" spans="4:12" x14ac:dyDescent="0.25">
      <c r="D5" s="4" t="s">
        <v>2</v>
      </c>
      <c r="E5" s="6">
        <v>1550</v>
      </c>
      <c r="F5" s="7">
        <v>1500</v>
      </c>
    </row>
    <row r="6" spans="4:12" x14ac:dyDescent="0.25">
      <c r="D6" s="4" t="s">
        <v>3</v>
      </c>
      <c r="E6" s="6">
        <v>1400</v>
      </c>
      <c r="F6" s="7">
        <v>690</v>
      </c>
    </row>
    <row r="7" spans="4:12" x14ac:dyDescent="0.25">
      <c r="D7" s="4" t="s">
        <v>4</v>
      </c>
      <c r="E7" s="6">
        <v>1500</v>
      </c>
      <c r="F7" s="7">
        <v>750</v>
      </c>
    </row>
    <row r="8" spans="4:12" x14ac:dyDescent="0.25">
      <c r="D8" s="4" t="s">
        <v>5</v>
      </c>
      <c r="E8" s="6">
        <v>1600</v>
      </c>
      <c r="F8" s="7">
        <v>1450</v>
      </c>
    </row>
    <row r="9" spans="4:12" x14ac:dyDescent="0.25">
      <c r="D9" s="4" t="s">
        <v>6</v>
      </c>
      <c r="E9" s="6">
        <v>1480</v>
      </c>
      <c r="F9" s="7">
        <v>200</v>
      </c>
    </row>
    <row r="10" spans="4:12" ht="15.75" thickBot="1" x14ac:dyDescent="0.3">
      <c r="D10" s="5" t="s">
        <v>7</v>
      </c>
      <c r="E10" s="6">
        <v>1520</v>
      </c>
      <c r="F10" s="7">
        <v>680</v>
      </c>
    </row>
    <row r="11" spans="4:12" x14ac:dyDescent="0.25">
      <c r="D11"/>
      <c r="E11"/>
      <c r="F11"/>
    </row>
    <row r="12" spans="4:12" x14ac:dyDescent="0.25">
      <c r="D12"/>
      <c r="E12"/>
      <c r="F12"/>
    </row>
    <row r="13" spans="4:12" x14ac:dyDescent="0.25">
      <c r="D13"/>
      <c r="E13"/>
      <c r="F13"/>
    </row>
    <row r="14" spans="4:12" x14ac:dyDescent="0.25">
      <c r="D14"/>
      <c r="E14"/>
      <c r="F14"/>
    </row>
  </sheetData>
  <mergeCells count="1">
    <mergeCell ref="J1:L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63AB4-EF74-4022-8DA9-EDBA9CC88464}">
  <dimension ref="D1:K15"/>
  <sheetViews>
    <sheetView workbookViewId="0">
      <selection activeCell="K27" sqref="K27"/>
    </sheetView>
  </sheetViews>
  <sheetFormatPr defaultRowHeight="15" x14ac:dyDescent="0.25"/>
  <cols>
    <col min="2" max="2" width="10.7109375" bestFit="1" customWidth="1"/>
    <col min="4" max="4" width="10.85546875" style="2" bestFit="1" customWidth="1"/>
    <col min="5" max="6" width="7.7109375" style="1" customWidth="1"/>
    <col min="7" max="7" width="13.140625" style="1" customWidth="1"/>
    <col min="8" max="8" width="22.5703125" bestFit="1" customWidth="1"/>
    <col min="9" max="9" width="11" customWidth="1"/>
  </cols>
  <sheetData>
    <row r="1" spans="4:11" ht="19.5" thickBot="1" x14ac:dyDescent="0.35">
      <c r="H1" s="22" t="s">
        <v>26</v>
      </c>
      <c r="I1" s="23"/>
      <c r="J1" s="23"/>
      <c r="K1" s="24"/>
    </row>
    <row r="2" spans="4:11" ht="29.25" customHeight="1" thickBot="1" x14ac:dyDescent="0.3">
      <c r="E2" s="20" t="s">
        <v>9</v>
      </c>
      <c r="F2" s="21" t="s">
        <v>8</v>
      </c>
      <c r="G2" s="19" t="s">
        <v>17</v>
      </c>
      <c r="H2" s="12" t="s">
        <v>10</v>
      </c>
      <c r="I2" s="16" t="s">
        <v>13</v>
      </c>
    </row>
    <row r="3" spans="4:11" x14ac:dyDescent="0.25">
      <c r="D3" s="3" t="s">
        <v>0</v>
      </c>
      <c r="E3" s="6">
        <v>1500</v>
      </c>
      <c r="F3" s="7">
        <v>1200</v>
      </c>
      <c r="G3" s="18">
        <f>$H$15+$F$15*E3</f>
        <v>837.1094710947109</v>
      </c>
      <c r="H3" s="1">
        <f>(E3-$E$12) * (F3-$F$12)</f>
        <v>-5695.3125</v>
      </c>
      <c r="I3" s="11">
        <f>(E3-$E$12)^2</f>
        <v>351.5625</v>
      </c>
    </row>
    <row r="4" spans="4:11" x14ac:dyDescent="0.25">
      <c r="D4" s="10" t="s">
        <v>1</v>
      </c>
      <c r="E4" s="6">
        <v>1600</v>
      </c>
      <c r="F4" s="7">
        <v>700</v>
      </c>
      <c r="G4" s="18">
        <f>$H$15+$F$15*E4</f>
        <v>1152.5256252562522</v>
      </c>
      <c r="H4" s="1">
        <f t="shared" ref="H4:H10" si="0">(E4-$E$12) * (F4-$F$12)</f>
        <v>-15945.3125</v>
      </c>
      <c r="I4" s="11">
        <f>(E4-$E$12)^2</f>
        <v>6601.5625</v>
      </c>
    </row>
    <row r="5" spans="4:11" x14ac:dyDescent="0.25">
      <c r="D5" s="4" t="s">
        <v>2</v>
      </c>
      <c r="E5" s="6">
        <v>1550</v>
      </c>
      <c r="F5" s="7">
        <v>1500</v>
      </c>
      <c r="G5" s="18">
        <f>$H$15+$F$15*E5</f>
        <v>994.81754817548153</v>
      </c>
      <c r="H5" s="1">
        <f t="shared" si="0"/>
        <v>18867.1875</v>
      </c>
      <c r="I5" s="11">
        <f>(E5-$E$12)^2</f>
        <v>976.5625</v>
      </c>
    </row>
    <row r="6" spans="4:11" x14ac:dyDescent="0.25">
      <c r="D6" s="4" t="s">
        <v>3</v>
      </c>
      <c r="E6" s="6">
        <v>1400</v>
      </c>
      <c r="F6" s="7">
        <v>690</v>
      </c>
      <c r="G6" s="18">
        <f>$H$15+$F$15*E6</f>
        <v>521.69331693316872</v>
      </c>
      <c r="H6" s="1">
        <f t="shared" si="0"/>
        <v>24492.1875</v>
      </c>
      <c r="I6" s="11">
        <f>(E6-$E$12)^2</f>
        <v>14101.5625</v>
      </c>
    </row>
    <row r="7" spans="4:11" x14ac:dyDescent="0.25">
      <c r="D7" s="4" t="s">
        <v>4</v>
      </c>
      <c r="E7" s="6">
        <v>1500</v>
      </c>
      <c r="F7" s="7">
        <v>750</v>
      </c>
      <c r="G7" s="18">
        <f>$H$15+$F$15*E7</f>
        <v>837.1094710947109</v>
      </c>
      <c r="H7" s="1">
        <f t="shared" si="0"/>
        <v>2742.1875</v>
      </c>
      <c r="I7" s="11">
        <f>(E7-$E$12)^2</f>
        <v>351.5625</v>
      </c>
    </row>
    <row r="8" spans="4:11" x14ac:dyDescent="0.25">
      <c r="D8" s="4" t="s">
        <v>5</v>
      </c>
      <c r="E8" s="6">
        <v>1600</v>
      </c>
      <c r="F8" s="7">
        <v>1450</v>
      </c>
      <c r="G8" s="18">
        <f>$H$15+$F$15*E8</f>
        <v>1152.5256252562522</v>
      </c>
      <c r="H8" s="1">
        <f t="shared" si="0"/>
        <v>44992.1875</v>
      </c>
      <c r="I8" s="11">
        <f>(E8-$E$12)^2</f>
        <v>6601.5625</v>
      </c>
    </row>
    <row r="9" spans="4:11" x14ac:dyDescent="0.25">
      <c r="D9" s="4" t="s">
        <v>6</v>
      </c>
      <c r="E9" s="6">
        <v>1480</v>
      </c>
      <c r="F9" s="7">
        <v>200</v>
      </c>
      <c r="G9" s="18">
        <f>$H$15+$F$15*E9</f>
        <v>774.0262402624021</v>
      </c>
      <c r="H9" s="1">
        <f t="shared" si="0"/>
        <v>26979.6875</v>
      </c>
      <c r="I9" s="11">
        <f>(E9-$E$12)^2</f>
        <v>1501.5625</v>
      </c>
    </row>
    <row r="10" spans="4:11" ht="15.75" thickBot="1" x14ac:dyDescent="0.3">
      <c r="D10" s="5" t="s">
        <v>7</v>
      </c>
      <c r="E10" s="6">
        <v>1520</v>
      </c>
      <c r="F10" s="7">
        <v>680</v>
      </c>
      <c r="G10" s="18">
        <f>$H$15+$F$15*E10</f>
        <v>900.19270192701879</v>
      </c>
      <c r="H10" s="1">
        <f t="shared" si="0"/>
        <v>-270.3125</v>
      </c>
      <c r="I10" s="11">
        <f>(E10-$E$12)^2</f>
        <v>1.5625</v>
      </c>
    </row>
    <row r="11" spans="4:11" x14ac:dyDescent="0.25">
      <c r="D11"/>
      <c r="E11" s="15" t="s">
        <v>12</v>
      </c>
      <c r="F11" s="15"/>
      <c r="G11" s="18"/>
      <c r="H11" s="16" t="s">
        <v>11</v>
      </c>
      <c r="I11" s="16" t="s">
        <v>14</v>
      </c>
    </row>
    <row r="12" spans="4:11" x14ac:dyDescent="0.25">
      <c r="E12" s="13">
        <f>AVERAGE(E3:E10)</f>
        <v>1518.75</v>
      </c>
      <c r="F12" s="13">
        <f>AVERAGE(F3:F10)</f>
        <v>896.25</v>
      </c>
      <c r="G12" s="13"/>
      <c r="H12" s="14">
        <f>SUM(H3:H10)</f>
        <v>96162.5</v>
      </c>
      <c r="I12" s="14">
        <f>SUM(I3:I10)</f>
        <v>30487.5</v>
      </c>
    </row>
    <row r="13" spans="4:11" x14ac:dyDescent="0.25">
      <c r="D13"/>
      <c r="E13"/>
      <c r="F13"/>
      <c r="G13"/>
    </row>
    <row r="14" spans="4:11" x14ac:dyDescent="0.25">
      <c r="D14"/>
      <c r="E14"/>
      <c r="F14" s="17" t="s">
        <v>15</v>
      </c>
      <c r="G14" s="17"/>
      <c r="H14" s="17" t="s">
        <v>16</v>
      </c>
    </row>
    <row r="15" spans="4:11" x14ac:dyDescent="0.25">
      <c r="F15" s="17">
        <f>H12/I12</f>
        <v>3.1541615416154163</v>
      </c>
      <c r="G15" s="17"/>
      <c r="H15" s="17">
        <f>F12 - F15*E12</f>
        <v>-3894.1328413284136</v>
      </c>
    </row>
  </sheetData>
  <mergeCells count="2">
    <mergeCell ref="E11:F11"/>
    <mergeCell ref="H1:K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1853C-A8EA-4734-A6D1-E44B9E463FA2}">
  <dimension ref="D1:Q16"/>
  <sheetViews>
    <sheetView tabSelected="1" workbookViewId="0">
      <selection activeCell="L27" sqref="L27"/>
    </sheetView>
  </sheetViews>
  <sheetFormatPr defaultRowHeight="15" x14ac:dyDescent="0.25"/>
  <cols>
    <col min="5" max="5" width="14" bestFit="1" customWidth="1"/>
    <col min="9" max="9" width="25.5703125" bestFit="1" customWidth="1"/>
    <col min="10" max="10" width="9.28515625" bestFit="1" customWidth="1"/>
    <col min="11" max="11" width="12" bestFit="1" customWidth="1"/>
  </cols>
  <sheetData>
    <row r="1" spans="4:17" ht="19.5" thickBot="1" x14ac:dyDescent="0.35">
      <c r="I1" s="22" t="s">
        <v>19</v>
      </c>
      <c r="J1" s="23"/>
      <c r="K1" s="23"/>
      <c r="L1" s="24"/>
    </row>
    <row r="2" spans="4:17" ht="15.75" thickBot="1" x14ac:dyDescent="0.3"/>
    <row r="3" spans="4:17" ht="15.75" thickBot="1" x14ac:dyDescent="0.3">
      <c r="D3" s="2"/>
      <c r="E3" s="20" t="s">
        <v>20</v>
      </c>
      <c r="F3" s="20" t="s">
        <v>9</v>
      </c>
      <c r="G3" s="21" t="s">
        <v>8</v>
      </c>
      <c r="I3" s="33" t="s">
        <v>21</v>
      </c>
      <c r="J3" s="32">
        <f t="array" ref="J3:Q4">TRANSPOSE(E4:F11)</f>
        <v>1</v>
      </c>
      <c r="K3" s="32">
        <v>1</v>
      </c>
      <c r="L3" s="32">
        <v>1</v>
      </c>
      <c r="M3" s="32">
        <v>1</v>
      </c>
      <c r="N3" s="32">
        <v>1</v>
      </c>
      <c r="O3" s="32">
        <v>1</v>
      </c>
      <c r="P3" s="32">
        <v>1</v>
      </c>
      <c r="Q3" s="32">
        <v>1</v>
      </c>
    </row>
    <row r="4" spans="4:17" x14ac:dyDescent="0.25">
      <c r="D4" s="25" t="s">
        <v>0</v>
      </c>
      <c r="E4" s="29">
        <v>1</v>
      </c>
      <c r="F4" s="30">
        <v>1500</v>
      </c>
      <c r="G4" s="31">
        <v>1200</v>
      </c>
      <c r="I4" s="33"/>
      <c r="J4" s="32">
        <v>1500</v>
      </c>
      <c r="K4" s="32">
        <v>1600</v>
      </c>
      <c r="L4" s="32">
        <v>1550</v>
      </c>
      <c r="M4" s="32">
        <v>1400</v>
      </c>
      <c r="N4" s="32">
        <v>1500</v>
      </c>
      <c r="O4" s="32">
        <v>1600</v>
      </c>
      <c r="P4" s="32">
        <v>1480</v>
      </c>
      <c r="Q4" s="32">
        <v>1520</v>
      </c>
    </row>
    <row r="5" spans="4:17" x14ac:dyDescent="0.25">
      <c r="D5" s="26" t="s">
        <v>1</v>
      </c>
      <c r="E5" s="29">
        <v>1</v>
      </c>
      <c r="F5" s="30">
        <v>1600</v>
      </c>
      <c r="G5" s="31">
        <v>700</v>
      </c>
      <c r="J5" s="1"/>
      <c r="K5" s="1"/>
      <c r="L5" s="1"/>
      <c r="M5" s="1"/>
      <c r="N5" s="1"/>
      <c r="O5" s="1"/>
      <c r="P5" s="1"/>
      <c r="Q5" s="1"/>
    </row>
    <row r="6" spans="4:17" x14ac:dyDescent="0.25">
      <c r="D6" s="27" t="s">
        <v>2</v>
      </c>
      <c r="E6" s="29">
        <v>1</v>
      </c>
      <c r="F6" s="30">
        <v>1550</v>
      </c>
      <c r="G6" s="31">
        <v>1500</v>
      </c>
      <c r="I6" s="33" t="s">
        <v>22</v>
      </c>
      <c r="J6" s="32">
        <f t="array" ref="J6:K7">MMULT(J3:Q4, E4:F11)</f>
        <v>8</v>
      </c>
      <c r="K6" s="32">
        <v>12150</v>
      </c>
      <c r="L6" s="1"/>
      <c r="M6" s="1"/>
      <c r="N6" s="1"/>
      <c r="O6" s="1"/>
      <c r="P6" s="1"/>
      <c r="Q6" s="1"/>
    </row>
    <row r="7" spans="4:17" x14ac:dyDescent="0.25">
      <c r="D7" s="27" t="s">
        <v>3</v>
      </c>
      <c r="E7" s="29">
        <v>1</v>
      </c>
      <c r="F7" s="30">
        <v>1400</v>
      </c>
      <c r="G7" s="31">
        <v>690</v>
      </c>
      <c r="I7" s="33"/>
      <c r="J7" s="32">
        <v>12150</v>
      </c>
      <c r="K7" s="32">
        <v>18483300</v>
      </c>
      <c r="L7" s="1"/>
      <c r="M7" s="1"/>
      <c r="N7" s="1"/>
      <c r="O7" s="1"/>
      <c r="P7" s="1"/>
      <c r="Q7" s="1"/>
    </row>
    <row r="8" spans="4:17" x14ac:dyDescent="0.25">
      <c r="D8" s="27" t="s">
        <v>4</v>
      </c>
      <c r="E8" s="29">
        <v>1</v>
      </c>
      <c r="F8" s="30">
        <v>1500</v>
      </c>
      <c r="G8" s="31">
        <v>750</v>
      </c>
      <c r="J8" s="1"/>
      <c r="K8" s="1"/>
      <c r="L8" s="1"/>
      <c r="M8" s="1"/>
      <c r="N8" s="1"/>
      <c r="O8" s="1"/>
      <c r="P8" s="1"/>
      <c r="Q8" s="1"/>
    </row>
    <row r="9" spans="4:17" x14ac:dyDescent="0.25">
      <c r="D9" s="27" t="s">
        <v>5</v>
      </c>
      <c r="E9" s="29">
        <v>1</v>
      </c>
      <c r="F9" s="30">
        <v>1600</v>
      </c>
      <c r="G9" s="31">
        <v>1450</v>
      </c>
      <c r="I9" s="33" t="s">
        <v>23</v>
      </c>
      <c r="J9" s="32">
        <f t="array" ref="J9:K10">MINVERSE(J6:K7)</f>
        <v>75.782287822875432</v>
      </c>
      <c r="K9" s="32">
        <v>-4.9815498154979716E-2</v>
      </c>
      <c r="L9" s="1"/>
      <c r="M9" s="1"/>
      <c r="N9" s="1"/>
      <c r="O9" s="1"/>
      <c r="P9" s="1"/>
      <c r="Q9" s="1"/>
    </row>
    <row r="10" spans="4:17" x14ac:dyDescent="0.25">
      <c r="D10" s="27" t="s">
        <v>6</v>
      </c>
      <c r="E10" s="29">
        <v>1</v>
      </c>
      <c r="F10" s="30">
        <v>1480</v>
      </c>
      <c r="G10" s="31">
        <v>200</v>
      </c>
      <c r="I10" s="33"/>
      <c r="J10" s="32">
        <v>-4.9815498154979709E-2</v>
      </c>
      <c r="K10" s="32">
        <v>3.2800328003278826E-5</v>
      </c>
      <c r="L10" s="1"/>
      <c r="M10" s="1"/>
      <c r="N10" s="1"/>
      <c r="O10" s="1"/>
      <c r="P10" s="1"/>
      <c r="Q10" s="1"/>
    </row>
    <row r="11" spans="4:17" ht="15.75" thickBot="1" x14ac:dyDescent="0.3">
      <c r="D11" s="28" t="s">
        <v>7</v>
      </c>
      <c r="E11" s="29">
        <v>1</v>
      </c>
      <c r="F11" s="30">
        <v>1520</v>
      </c>
      <c r="G11" s="31">
        <v>680</v>
      </c>
    </row>
    <row r="12" spans="4:17" x14ac:dyDescent="0.25">
      <c r="I12" s="33" t="s">
        <v>24</v>
      </c>
      <c r="J12" s="32">
        <f t="array" ref="J12:J13">MMULT(J3:Q4, G4:G11)</f>
        <v>7170</v>
      </c>
    </row>
    <row r="13" spans="4:17" x14ac:dyDescent="0.25">
      <c r="I13" s="33"/>
      <c r="J13" s="32">
        <v>10985600</v>
      </c>
    </row>
    <row r="15" spans="4:17" x14ac:dyDescent="0.25">
      <c r="I15" s="33" t="s">
        <v>25</v>
      </c>
      <c r="J15" s="34" t="s">
        <v>16</v>
      </c>
      <c r="K15" s="32">
        <f t="array" ref="K15:K16">MMULT(J9:K10, J12:J13)</f>
        <v>-3894.1328413283918</v>
      </c>
    </row>
    <row r="16" spans="4:17" x14ac:dyDescent="0.25">
      <c r="I16" s="33"/>
      <c r="J16" s="34" t="s">
        <v>15</v>
      </c>
      <c r="K16" s="32">
        <v>3.1541615416153945</v>
      </c>
    </row>
  </sheetData>
  <mergeCells count="6">
    <mergeCell ref="I15:I16"/>
    <mergeCell ref="I1:L1"/>
    <mergeCell ref="I3:I4"/>
    <mergeCell ref="I6:I7"/>
    <mergeCell ref="I9:I10"/>
    <mergeCell ref="I12:I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Regression_Analysis</vt:lpstr>
      <vt:lpstr>Regression_Analysis_Model_1</vt:lpstr>
      <vt:lpstr>Regression Analysis Model_2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2025-08-27T14:45:59Z</dcterms:created>
  <dcterms:modified xsi:type="dcterms:W3CDTF">2025-08-28T20:52:24Z</dcterms:modified>
</cp:coreProperties>
</file>
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Excel\Handex Excel\Statistics\Season_2\Telim_14\"/>
    </mc:Choice>
  </mc:AlternateContent>
  <xr:revisionPtr revIDLastSave="0" documentId="13_ncr:1_{CC67C023-66D6-446B-9F7E-3D49F7FD48EE}" xr6:coauthVersionLast="45" xr6:coauthVersionMax="45" xr10:uidLastSave="{00000000-0000-0000-0000-000000000000}"/>
  <bookViews>
    <workbookView xWindow="-120" yWindow="-120" windowWidth="20730" windowHeight="11160" firstSheet="3" activeTab="5" xr2:uid="{9F571535-7707-4ACF-B515-C378DE90F6D4}"/>
  </bookViews>
  <sheets>
    <sheet name="Multiple Linear Regression_1" sheetId="1" r:id="rId1"/>
    <sheet name="Multiple Linear Regression_ 2" sheetId="3" r:id="rId2"/>
    <sheet name="Multiple Linear Regression_ 3" sheetId="4" r:id="rId3"/>
    <sheet name="Multiple Linear Regression_ 4" sheetId="5" r:id="rId4"/>
    <sheet name="Multiple Linear Regression_ 5_1" sheetId="6" r:id="rId5"/>
    <sheet name="Multiple Linear Regression_ 5_2" sheetId="7" r:id="rId6"/>
  </sheets>
  <definedNames>
    <definedName name="B_2">'Multiple Linear Regression_ 2'!$I$21</definedName>
    <definedName name="MSE">'Multiple Linear Regression_ 2'!$K$15</definedName>
    <definedName name="MSE_" localSheetId="3">'Multiple Linear Regression_ 4'!$K$15</definedName>
    <definedName name="MSE_">'Multiple Linear Regression_ 3'!$K$15</definedName>
    <definedName name="MSR">'Multiple Linear Regression_ 2'!$K$14</definedName>
    <definedName name="R_Square" localSheetId="1">'Multiple Linear Regression_ 2'!$I$7</definedName>
    <definedName name="R_Square" localSheetId="2">'Multiple Linear Regression_ 3'!$I$7</definedName>
    <definedName name="R_Square" localSheetId="3">'Multiple Linear Regression_ 4'!$I$7</definedName>
    <definedName name="R_Square" localSheetId="4">'Multiple Linear Regression_ 5_1'!$I$7</definedName>
    <definedName name="R_Square">'Multiple Linear Regression_1'!$I$7</definedName>
    <definedName name="S_b_2">'Multiple Linear Regression_ 2'!$J$21</definedName>
    <definedName name="SSE" localSheetId="1">'Multiple Linear Regression_ 2'!$J$15</definedName>
    <definedName name="SSE" localSheetId="2">'Multiple Linear Regression_ 3'!$J$15</definedName>
    <definedName name="SSE" localSheetId="3">'Multiple Linear Regression_ 4'!$J$15</definedName>
    <definedName name="SSE" localSheetId="4">'Multiple Linear Regression_ 5_1'!$J$15</definedName>
    <definedName name="SSE">'Multiple Linear Regression_1'!$J$15</definedName>
    <definedName name="SSR" localSheetId="1">'Multiple Linear Regression_ 2'!$J$14</definedName>
    <definedName name="SSR" localSheetId="2">'Multiple Linear Regression_ 3'!$J$14</definedName>
    <definedName name="SSR" localSheetId="3">'Multiple Linear Regression_ 4'!$J$14</definedName>
    <definedName name="SSR" localSheetId="4">'Multiple Linear Regression_ 5_1'!$J$14</definedName>
    <definedName name="SSR">'Multiple Linear Regression_1'!$J$14</definedName>
    <definedName name="SSR_" localSheetId="3">'Multiple Linear Regression_ 4'!$J$14</definedName>
    <definedName name="SSR_">'Multiple Linear Regression_ 3'!$J$14</definedName>
    <definedName name="SSR_Advertising" localSheetId="3">'Multiple Linear Regression_ 4'!#REF!</definedName>
    <definedName name="SSR_Advertising">'Multiple Linear Regression_ 3'!$J$20</definedName>
    <definedName name="SSR_g" localSheetId="3">'Multiple Linear Regression_ 4'!$J$14</definedName>
    <definedName name="SSR_g">'Multiple Linear Regression_ 3'!$J$14</definedName>
    <definedName name="SSR_Ge" localSheetId="3">'Multiple Linear Regression_ 4'!$J$14</definedName>
    <definedName name="SSR_Ge">'Multiple Linear Regression_ 3'!$J$14</definedName>
    <definedName name="SSR_General" localSheetId="3">'Multiple Linear Regression_ 4'!$J$14</definedName>
    <definedName name="SSR_General">'Multiple Linear Regression_ 3'!$J$14</definedName>
    <definedName name="SSR_Price">'Multiple Linear Regression_ 4'!$J$20</definedName>
    <definedName name="SSRGeneral" localSheetId="3">'Multiple Linear Regression_ 4'!$J$14</definedName>
    <definedName name="SSRGeneral">'Multiple Linear Regression_ 3'!$J$14</definedName>
    <definedName name="SST" localSheetId="1">'Multiple Linear Regression_ 2'!$J$16</definedName>
    <definedName name="SST" localSheetId="2">'Multiple Linear Regression_ 3'!$J$16</definedName>
    <definedName name="SST" localSheetId="3">'Multiple Linear Regression_ 4'!$J$16</definedName>
    <definedName name="SST" localSheetId="4">'Multiple Linear Regression_ 5_1'!$J$16</definedName>
    <definedName name="SST">'Multiple Linear Regression_1'!$J$16</definedName>
    <definedName name="Stand_Err_B_2">'Multiple Linear Regression_ 2'!$H$9</definedName>
    <definedName name="Standard_Error">'Multiple Linear Regression_ 2'!$I$9</definedName>
    <definedName name="t_alfa_2">'Multiple Linear Regression_ 2'!$O$22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17" i="5" l="1"/>
  <c r="P15" i="5"/>
  <c r="P15" i="4"/>
  <c r="O17" i="4"/>
  <c r="N17" i="3"/>
  <c r="M17" i="3"/>
  <c r="O22" i="3" l="1"/>
  <c r="K22" i="3"/>
  <c r="J22" i="3"/>
  <c r="N9" i="3"/>
  <c r="L9" i="3"/>
  <c r="M12" i="3"/>
  <c r="L12" i="3"/>
  <c r="K9" i="1"/>
  <c r="J8" i="1"/>
  <c r="J7" i="1"/>
</calcChain>
</file>

<file path=xl/sharedStrings.xml><?xml version="1.0" encoding="utf-8"?>
<sst xmlns="http://schemas.openxmlformats.org/spreadsheetml/2006/main" count="191" uniqueCount="45">
  <si>
    <t>Week</t>
  </si>
  <si>
    <t>Pie Sales</t>
  </si>
  <si>
    <t>Price ($)</t>
  </si>
  <si>
    <t>Advertising ($100s)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</si>
  <si>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</si>
  <si>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</si>
  <si>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</si>
  <si>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</si>
  <si>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</si>
  <si>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</si>
  <si>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</si>
  <si>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</si>
  <si>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</si>
  <si>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</si>
  <si>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</si>
  <si>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</si>
  <si>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</si>
  <si>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</si>
  <si>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</si>
  <si>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</si>
  <si>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</si>
  <si>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</si>
  <si>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</si>
  <si>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</si>
  <si>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</si>
  <si>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</si>
  <si>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</si>
  <si>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</si>
  <si>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Sales=</t>
  </si>
  <si>
    <r>
      <rPr>
        <b/>
        <sz val="12"/>
        <color theme="5" tint="-0.249977111117893"/>
        <rFont val="Calibri"/>
        <family val="2"/>
        <scheme val="minor"/>
      </rPr>
      <t xml:space="preserve">306.526 </t>
    </r>
    <r>
      <rPr>
        <b/>
        <sz val="12"/>
        <color theme="1"/>
        <rFont val="Calibri"/>
        <family val="2"/>
        <scheme val="minor"/>
      </rPr>
      <t xml:space="preserve">- 24.975 * </t>
    </r>
    <r>
      <rPr>
        <b/>
        <sz val="12"/>
        <color theme="4" tint="-0.249977111117893"/>
        <rFont val="Calibri"/>
        <family val="2"/>
        <scheme val="minor"/>
      </rPr>
      <t xml:space="preserve">Price </t>
    </r>
    <r>
      <rPr>
        <b/>
        <sz val="12"/>
        <color theme="1"/>
        <rFont val="Calibri"/>
        <family val="2"/>
        <scheme val="minor"/>
      </rPr>
      <t xml:space="preserve">+ 74.1309 * </t>
    </r>
    <r>
      <rPr>
        <b/>
        <sz val="12"/>
        <color theme="4" tint="-0.249977111117893"/>
        <rFont val="Calibri"/>
        <family val="2"/>
        <scheme val="minor"/>
      </rPr>
      <t>Advertising</t>
    </r>
  </si>
  <si>
    <t>Multiple Linear Regression R^2 &amp; Adj R^2</t>
  </si>
  <si>
    <t>F_alfa</t>
  </si>
  <si>
    <t>Modelin yaxşı və ya pis olduğunu təsbit edir</t>
  </si>
  <si>
    <t>t_alfa/2</t>
  </si>
  <si>
    <t>Multiple Linear Regression F Test for Significance &amp; Slope</t>
  </si>
  <si>
    <t>Multiple Linear Regression The Partial F test statistic</t>
  </si>
  <si>
    <t>Price ($)    &amp;     Advertising ($100s)</t>
  </si>
  <si>
    <t xml:space="preserve">Multiple Linear Regression Residuals </t>
  </si>
  <si>
    <t>RESIDUAL OUTPUT</t>
  </si>
  <si>
    <t>Observation</t>
  </si>
  <si>
    <t>Predicted Pie Sales</t>
  </si>
  <si>
    <t>Residuals</t>
  </si>
  <si>
    <t>Standard Residuals</t>
  </si>
  <si>
    <t>PROBABILITY OUTPUT</t>
  </si>
  <si>
    <t>Percentile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</si>
</sst>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58">
    <xf numFmtId="0" fontId="0" fillId="0" borderId="0" xfId="0"/>
    <xf numFmtId="0" fontId="0" fillId="0" borderId="0" xfId="0" applyAlignment="1">
      <alignment horizontal="center" vertical="center"/>
    </xf>
    <xf numFmtId="0" fontId="2" fillId="0" borderId="4" xfId="1" applyNumberFormat="1" applyBorder="1" applyAlignment="1">
      <alignment horizontal="center" vertical="center"/>
    </xf>
    <xf numFmtId="0" fontId="2" fillId="0" borderId="5" xfId="1" applyNumberFormat="1" applyBorder="1" applyAlignment="1">
      <alignment horizontal="center" vertical="center"/>
    </xf>
    <xf numFmtId="0" fontId="2" fillId="0" borderId="6" xfId="1" applyNumberFormat="1" applyBorder="1" applyAlignment="1">
      <alignment horizontal="center" vertical="center"/>
    </xf>
    <xf numFmtId="0" fontId="2" fillId="0" borderId="7" xfId="1" applyNumberFormat="1" applyBorder="1" applyAlignment="1">
      <alignment horizontal="center" vertical="center"/>
    </xf>
    <xf numFmtId="0" fontId="2" fillId="0" borderId="8" xfId="1" applyNumberFormat="1" applyBorder="1" applyAlignment="1">
      <alignment horizontal="center" vertical="center"/>
    </xf>
    <xf numFmtId="0" fontId="2" fillId="0" borderId="9" xfId="1" applyNumberFormat="1" applyBorder="1" applyAlignment="1">
      <alignment horizontal="center" vertical="center"/>
    </xf>
    <xf numFmtId="0" fontId="2" fillId="0" borderId="10" xfId="1" applyNumberFormat="1" applyBorder="1" applyAlignment="1">
      <alignment horizontal="center" vertical="center"/>
    </xf>
    <xf numFmtId="0" fontId="2" fillId="0" borderId="11" xfId="1" applyNumberFormat="1" applyBorder="1" applyAlignment="1">
      <alignment horizontal="center" vertical="center"/>
    </xf>
    <xf numFmtId="0" fontId="2" fillId="0" borderId="12" xfId="1" applyNumberFormat="1" applyBorder="1" applyAlignment="1">
      <alignment horizontal="center" vertical="center"/>
    </xf>
    <xf numFmtId="0" fontId="2" fillId="0" borderId="13" xfId="1" applyNumberFormat="1" applyBorder="1" applyAlignment="1">
      <alignment horizontal="center" vertical="center"/>
    </xf>
    <xf numFmtId="0" fontId="2" fillId="0" borderId="14" xfId="1" applyNumberFormat="1" applyBorder="1" applyAlignment="1">
      <alignment horizontal="center" vertical="center"/>
    </xf>
    <xf numFmtId="0" fontId="2" fillId="0" borderId="15" xfId="1" applyNumberFormat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0" fillId="0" borderId="0" xfId="0" applyFill="1" applyBorder="1" applyAlignment="1"/>
    <xf numFmtId="0" fontId="0" fillId="0" borderId="16" xfId="0" applyFill="1" applyBorder="1" applyAlignment="1"/>
    <xf numFmtId="0" fontId="4" fillId="0" borderId="17" xfId="0" applyFont="1" applyFill="1" applyBorder="1" applyAlignment="1">
      <alignment horizontal="center"/>
    </xf>
    <xf numFmtId="0" fontId="4" fillId="0" borderId="17" xfId="0" applyFont="1" applyFill="1" applyBorder="1" applyAlignment="1">
      <alignment horizontal="centerContinuous"/>
    </xf>
    <xf numFmtId="0" fontId="5" fillId="0" borderId="0" xfId="0" applyFont="1" applyAlignment="1">
      <alignment horizontal="right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0" fillId="3" borderId="0" xfId="0" applyFill="1"/>
    <xf numFmtId="0" fontId="0" fillId="4" borderId="0" xfId="0" applyFill="1"/>
    <xf numFmtId="0" fontId="0" fillId="0" borderId="0" xfId="0" applyAlignment="1">
      <alignment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1" fillId="7" borderId="0" xfId="0" applyFont="1" applyFill="1" applyAlignment="1">
      <alignment horizontal="right"/>
    </xf>
    <xf numFmtId="0" fontId="0" fillId="7" borderId="0" xfId="0" applyFill="1"/>
    <xf numFmtId="0" fontId="0" fillId="7" borderId="16" xfId="0" applyFill="1" applyBorder="1" applyAlignment="1"/>
    <xf numFmtId="0" fontId="0" fillId="7" borderId="0" xfId="0" applyFill="1" applyBorder="1" applyAlignment="1"/>
    <xf numFmtId="0" fontId="0" fillId="5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0" fontId="0" fillId="2" borderId="16" xfId="0" applyFill="1" applyBorder="1" applyAlignment="1"/>
    <xf numFmtId="0" fontId="2" fillId="0" borderId="5" xfId="1" applyNumberFormat="1" applyBorder="1" applyAlignment="1">
      <alignment horizontal="center"/>
    </xf>
    <xf numFmtId="0" fontId="2" fillId="0" borderId="6" xfId="1" applyNumberFormat="1" applyBorder="1" applyAlignment="1">
      <alignment horizontal="center"/>
    </xf>
    <xf numFmtId="0" fontId="2" fillId="0" borderId="7" xfId="1" applyNumberFormat="1" applyBorder="1" applyAlignment="1">
      <alignment horizontal="center"/>
    </xf>
    <xf numFmtId="0" fontId="2" fillId="0" borderId="8" xfId="1" applyNumberFormat="1" applyBorder="1" applyAlignment="1">
      <alignment horizontal="center"/>
    </xf>
    <xf numFmtId="0" fontId="2" fillId="0" borderId="9" xfId="1" applyNumberFormat="1" applyBorder="1" applyAlignment="1">
      <alignment horizontal="center"/>
    </xf>
    <xf numFmtId="0" fontId="2" fillId="0" borderId="10" xfId="1" applyNumberFormat="1" applyBorder="1" applyAlignment="1">
      <alignment horizontal="center"/>
    </xf>
    <xf numFmtId="0" fontId="2" fillId="0" borderId="11" xfId="1" applyNumberFormat="1" applyBorder="1" applyAlignment="1">
      <alignment horizontal="center"/>
    </xf>
    <xf numFmtId="0" fontId="2" fillId="0" borderId="4" xfId="1" applyNumberFormat="1" applyBorder="1" applyAlignment="1">
      <alignment horizontal="center"/>
    </xf>
    <xf numFmtId="0" fontId="2" fillId="0" borderId="12" xfId="1" applyNumberFormat="1" applyBorder="1" applyAlignment="1">
      <alignment horizontal="center"/>
    </xf>
    <xf numFmtId="0" fontId="2" fillId="0" borderId="13" xfId="1" applyNumberFormat="1" applyBorder="1" applyAlignment="1">
      <alignment horizontal="center"/>
    </xf>
    <xf numFmtId="0" fontId="2" fillId="0" borderId="14" xfId="1" applyNumberFormat="1" applyBorder="1" applyAlignment="1">
      <alignment horizontal="center"/>
    </xf>
    <xf numFmtId="0" fontId="2" fillId="0" borderId="15" xfId="1" applyNumberFormat="1" applyBorder="1" applyAlignment="1">
      <alignment horizontal="center"/>
    </xf>
    <xf numFmtId="0" fontId="0" fillId="4" borderId="0" xfId="0" applyFill="1" applyBorder="1" applyAlignment="1"/>
    <xf numFmtId="0" fontId="1" fillId="8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2">
    <cellStyle name="Normal" xfId="0" builtinId="0"/>
    <cellStyle name="Normal 2" xfId="1" xr:uid="{0AE582C0-ECA6-49CA-A947-D0DBDD17249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Price ($)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'Multiple Linear Regression_ 5_1'!$E$3:$E$17</c:f>
              <c:numCache>
                <c:formatCode>General</c:formatCode>
                <c:ptCount val="15"/>
                <c:pt idx="0">
                  <c:v>5.5</c:v>
                </c:pt>
                <c:pt idx="1">
                  <c:v>7.5</c:v>
                </c:pt>
                <c:pt idx="2">
                  <c:v>8</c:v>
                </c:pt>
                <c:pt idx="3">
                  <c:v>8</c:v>
                </c:pt>
                <c:pt idx="4">
                  <c:v>6.8</c:v>
                </c:pt>
                <c:pt idx="5">
                  <c:v>7.5</c:v>
                </c:pt>
                <c:pt idx="6">
                  <c:v>4.5</c:v>
                </c:pt>
                <c:pt idx="7">
                  <c:v>6.4</c:v>
                </c:pt>
                <c:pt idx="8">
                  <c:v>7</c:v>
                </c:pt>
                <c:pt idx="9">
                  <c:v>5</c:v>
                </c:pt>
                <c:pt idx="10">
                  <c:v>7.2</c:v>
                </c:pt>
                <c:pt idx="11">
                  <c:v>7.9</c:v>
                </c:pt>
                <c:pt idx="12">
                  <c:v>5.9</c:v>
                </c:pt>
                <c:pt idx="13">
                  <c:v>5</c:v>
                </c:pt>
                <c:pt idx="14">
                  <c:v>7</c:v>
                </c:pt>
              </c:numCache>
            </c:numRef>
          </c:xVal>
          <c:yVal>
            <c:numRef>
              <c:f>'Multiple Linear Regression_ 5_1'!$J$28:$J$42</c:f>
              <c:numCache>
                <c:formatCode>General</c:formatCode>
                <c:ptCount val="15"/>
                <c:pt idx="0">
                  <c:v>-63.795360648540623</c:v>
                </c:pt>
                <c:pt idx="1">
                  <c:v>96.15481838711321</c:v>
                </c:pt>
                <c:pt idx="2">
                  <c:v>20.881650392649021</c:v>
                </c:pt>
                <c:pt idx="3">
                  <c:v>-10.314785840462434</c:v>
                </c:pt>
                <c:pt idx="4">
                  <c:v>-9.0884570287433348</c:v>
                </c:pt>
                <c:pt idx="5">
                  <c:v>-35.736851855005455</c:v>
                </c:pt>
                <c:pt idx="6">
                  <c:v>13.46883708025473</c:v>
                </c:pt>
                <c:pt idx="7">
                  <c:v>49.029836922007235</c:v>
                </c:pt>
                <c:pt idx="8">
                  <c:v>58.841082130451582</c:v>
                </c:pt>
                <c:pt idx="9">
                  <c:v>11.82542435042717</c:v>
                </c:pt>
                <c:pt idx="10">
                  <c:v>-46.163899965983092</c:v>
                </c:pt>
                <c:pt idx="11">
                  <c:v>-46.442050056881897</c:v>
                </c:pt>
                <c:pt idx="12">
                  <c:v>-15.696995083528577</c:v>
                </c:pt>
                <c:pt idx="13">
                  <c:v>8.8909030947976362</c:v>
                </c:pt>
                <c:pt idx="14">
                  <c:v>-31.854151878555683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D7-42BC-8E7D-C3AE95451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0793984"/>
        <c:axId val="1848284256"/>
      </c:scatterChart>
      <c:valAx>
        <c:axId val="9307939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Price ($)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48284256"/>
        <c:crosses val="autoZero"/>
        <c:crossBetween val="midCat"/>
      </c:valAx>
      <c:valAx>
        <c:axId val="184828425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30793984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Advertising ($100s)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'Multiple Linear Regression_ 5_1'!$F$3:$F$17</c:f>
              <c:numCache>
                <c:formatCode>General</c:formatCode>
                <c:ptCount val="15"/>
                <c:pt idx="0">
                  <c:v>3.3</c:v>
                </c:pt>
                <c:pt idx="1">
                  <c:v>3.3</c:v>
                </c:pt>
                <c:pt idx="2">
                  <c:v>3</c:v>
                </c:pt>
                <c:pt idx="3">
                  <c:v>4.5</c:v>
                </c:pt>
                <c:pt idx="4">
                  <c:v>3</c:v>
                </c:pt>
                <c:pt idx="5">
                  <c:v>4</c:v>
                </c:pt>
                <c:pt idx="6">
                  <c:v>3</c:v>
                </c:pt>
                <c:pt idx="7">
                  <c:v>3.7</c:v>
                </c:pt>
                <c:pt idx="8">
                  <c:v>3.5</c:v>
                </c:pt>
                <c:pt idx="9">
                  <c:v>4</c:v>
                </c:pt>
                <c:pt idx="10">
                  <c:v>3.5</c:v>
                </c:pt>
                <c:pt idx="11">
                  <c:v>3.2</c:v>
                </c:pt>
                <c:pt idx="12">
                  <c:v>4</c:v>
                </c:pt>
                <c:pt idx="13">
                  <c:v>3.5</c:v>
                </c:pt>
                <c:pt idx="14">
                  <c:v>2.7</c:v>
                </c:pt>
              </c:numCache>
            </c:numRef>
          </c:xVal>
          <c:yVal>
            <c:numRef>
              <c:f>'Multiple Linear Regression_ 5_1'!$J$28:$J$42</c:f>
              <c:numCache>
                <c:formatCode>General</c:formatCode>
                <c:ptCount val="15"/>
                <c:pt idx="0">
                  <c:v>-63.795360648540623</c:v>
                </c:pt>
                <c:pt idx="1">
                  <c:v>96.15481838711321</c:v>
                </c:pt>
                <c:pt idx="2">
                  <c:v>20.881650392649021</c:v>
                </c:pt>
                <c:pt idx="3">
                  <c:v>-10.314785840462434</c:v>
                </c:pt>
                <c:pt idx="4">
                  <c:v>-9.0884570287433348</c:v>
                </c:pt>
                <c:pt idx="5">
                  <c:v>-35.736851855005455</c:v>
                </c:pt>
                <c:pt idx="6">
                  <c:v>13.46883708025473</c:v>
                </c:pt>
                <c:pt idx="7">
                  <c:v>49.029836922007235</c:v>
                </c:pt>
                <c:pt idx="8">
                  <c:v>58.841082130451582</c:v>
                </c:pt>
                <c:pt idx="9">
                  <c:v>11.82542435042717</c:v>
                </c:pt>
                <c:pt idx="10">
                  <c:v>-46.163899965983092</c:v>
                </c:pt>
                <c:pt idx="11">
                  <c:v>-46.442050056881897</c:v>
                </c:pt>
                <c:pt idx="12">
                  <c:v>-15.696995083528577</c:v>
                </c:pt>
                <c:pt idx="13">
                  <c:v>8.8909030947976362</c:v>
                </c:pt>
                <c:pt idx="14">
                  <c:v>-31.854151878555683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E92-406C-946B-FE9A164432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0793984"/>
        <c:axId val="1848281760"/>
      </c:scatterChart>
      <c:valAx>
        <c:axId val="9307939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Advertising ($100s)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48281760"/>
        <c:crosses val="autoZero"/>
        <c:crossBetween val="midCat"/>
      </c:valAx>
      <c:valAx>
        <c:axId val="18482817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30793984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Price ($)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Pie Sales</c:v>
          </c:tx>
          <c:spPr>
            <a:ln w="19050">
              <a:noFill/>
            </a:ln>
          </c:spPr>
          <c:xVal>
            <c:numRef>
              <c:f>'Multiple Linear Regression_ 5_1'!$E$3:$E$17</c:f>
              <c:numCache>
                <c:formatCode>General</c:formatCode>
                <c:ptCount val="15"/>
                <c:pt idx="0">
                  <c:v>5.5</c:v>
                </c:pt>
                <c:pt idx="1">
                  <c:v>7.5</c:v>
                </c:pt>
                <c:pt idx="2">
                  <c:v>8</c:v>
                </c:pt>
                <c:pt idx="3">
                  <c:v>8</c:v>
                </c:pt>
                <c:pt idx="4">
                  <c:v>6.8</c:v>
                </c:pt>
                <c:pt idx="5">
                  <c:v>7.5</c:v>
                </c:pt>
                <c:pt idx="6">
                  <c:v>4.5</c:v>
                </c:pt>
                <c:pt idx="7">
                  <c:v>6.4</c:v>
                </c:pt>
                <c:pt idx="8">
                  <c:v>7</c:v>
                </c:pt>
                <c:pt idx="9">
                  <c:v>5</c:v>
                </c:pt>
                <c:pt idx="10">
                  <c:v>7.2</c:v>
                </c:pt>
                <c:pt idx="11">
                  <c:v>7.9</c:v>
                </c:pt>
                <c:pt idx="12">
                  <c:v>5.9</c:v>
                </c:pt>
                <c:pt idx="13">
                  <c:v>5</c:v>
                </c:pt>
                <c:pt idx="14">
                  <c:v>7</c:v>
                </c:pt>
              </c:numCache>
            </c:numRef>
          </c:xVal>
          <c:yVal>
            <c:numRef>
              <c:f>'Multiple Linear Regression_ 5_1'!$D$3:$D$17</c:f>
              <c:numCache>
                <c:formatCode>General</c:formatCode>
                <c:ptCount val="15"/>
                <c:pt idx="0">
                  <c:v>350</c:v>
                </c:pt>
                <c:pt idx="1">
                  <c:v>460</c:v>
                </c:pt>
                <c:pt idx="2">
                  <c:v>350</c:v>
                </c:pt>
                <c:pt idx="3">
                  <c:v>430</c:v>
                </c:pt>
                <c:pt idx="4">
                  <c:v>350</c:v>
                </c:pt>
                <c:pt idx="5">
                  <c:v>380</c:v>
                </c:pt>
                <c:pt idx="6">
                  <c:v>430</c:v>
                </c:pt>
                <c:pt idx="7">
                  <c:v>470</c:v>
                </c:pt>
                <c:pt idx="8">
                  <c:v>450</c:v>
                </c:pt>
                <c:pt idx="9">
                  <c:v>490</c:v>
                </c:pt>
                <c:pt idx="10">
                  <c:v>340</c:v>
                </c:pt>
                <c:pt idx="11">
                  <c:v>300</c:v>
                </c:pt>
                <c:pt idx="12">
                  <c:v>440</c:v>
                </c:pt>
                <c:pt idx="13">
                  <c:v>450</c:v>
                </c:pt>
                <c:pt idx="14">
                  <c:v>300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06-4263-AE40-6FC982B46BBC}"/>
            </c:ext>
          </c:extLst>
        </c:ser>
        <c:ser>
          <c:idx val="1"/>
          <c:order val="1"/>
          <c:tx>
            <c:v>Predicted Pie Sales</c:v>
          </c:tx>
          <c:spPr>
            <a:ln w="19050">
              <a:noFill/>
            </a:ln>
          </c:spPr>
          <c:xVal>
            <c:numRef>
              <c:f>'Multiple Linear Regression_ 5_1'!$E$3:$E$17</c:f>
              <c:numCache>
                <c:formatCode>General</c:formatCode>
                <c:ptCount val="15"/>
                <c:pt idx="0">
                  <c:v>5.5</c:v>
                </c:pt>
                <c:pt idx="1">
                  <c:v>7.5</c:v>
                </c:pt>
                <c:pt idx="2">
                  <c:v>8</c:v>
                </c:pt>
                <c:pt idx="3">
                  <c:v>8</c:v>
                </c:pt>
                <c:pt idx="4">
                  <c:v>6.8</c:v>
                </c:pt>
                <c:pt idx="5">
                  <c:v>7.5</c:v>
                </c:pt>
                <c:pt idx="6">
                  <c:v>4.5</c:v>
                </c:pt>
                <c:pt idx="7">
                  <c:v>6.4</c:v>
                </c:pt>
                <c:pt idx="8">
                  <c:v>7</c:v>
                </c:pt>
                <c:pt idx="9">
                  <c:v>5</c:v>
                </c:pt>
                <c:pt idx="10">
                  <c:v>7.2</c:v>
                </c:pt>
                <c:pt idx="11">
                  <c:v>7.9</c:v>
                </c:pt>
                <c:pt idx="12">
                  <c:v>5.9</c:v>
                </c:pt>
                <c:pt idx="13">
                  <c:v>5</c:v>
                </c:pt>
                <c:pt idx="14">
                  <c:v>7</c:v>
                </c:pt>
              </c:numCache>
            </c:numRef>
          </c:xVal>
          <c:yVal>
            <c:numRef>
              <c:f>'Multiple Linear Regression_ 5_1'!$I$28:$I$42</c:f>
              <c:numCache>
                <c:formatCode>General</c:formatCode>
                <c:ptCount val="15"/>
                <c:pt idx="0">
                  <c:v>413.79536064854062</c:v>
                </c:pt>
                <c:pt idx="1">
                  <c:v>363.84518161288679</c:v>
                </c:pt>
                <c:pt idx="2">
                  <c:v>329.11834960735098</c:v>
                </c:pt>
                <c:pt idx="3">
                  <c:v>440.31478584046243</c:v>
                </c:pt>
                <c:pt idx="4">
                  <c:v>359.08845702874333</c:v>
                </c:pt>
                <c:pt idx="5">
                  <c:v>415.73685185500545</c:v>
                </c:pt>
                <c:pt idx="6">
                  <c:v>416.53116291974527</c:v>
                </c:pt>
                <c:pt idx="7">
                  <c:v>420.97016307799277</c:v>
                </c:pt>
                <c:pt idx="8">
                  <c:v>391.15891786954842</c:v>
                </c:pt>
                <c:pt idx="9">
                  <c:v>478.17457564957283</c:v>
                </c:pt>
                <c:pt idx="10">
                  <c:v>386.16389996598309</c:v>
                </c:pt>
                <c:pt idx="11">
                  <c:v>346.4420500568819</c:v>
                </c:pt>
                <c:pt idx="12">
                  <c:v>455.69699508352858</c:v>
                </c:pt>
                <c:pt idx="13">
                  <c:v>441.10909690520236</c:v>
                </c:pt>
                <c:pt idx="14">
                  <c:v>331.85415187855568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06-4263-AE40-6FC982B46B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9612624"/>
        <c:axId val="1848284672"/>
      </c:scatterChart>
      <c:valAx>
        <c:axId val="17396126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Price ($)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48284672"/>
        <c:crosses val="autoZero"/>
        <c:crossBetween val="midCat"/>
      </c:valAx>
      <c:valAx>
        <c:axId val="18482846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Pie Sales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3961262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Advertising ($100s)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Pie Sales</c:v>
          </c:tx>
          <c:spPr>
            <a:ln w="19050">
              <a:noFill/>
            </a:ln>
          </c:spPr>
          <c:xVal>
            <c:numRef>
              <c:f>'Multiple Linear Regression_ 5_1'!$F$3:$F$17</c:f>
              <c:numCache>
                <c:formatCode>General</c:formatCode>
                <c:ptCount val="15"/>
                <c:pt idx="0">
                  <c:v>3.3</c:v>
                </c:pt>
                <c:pt idx="1">
                  <c:v>3.3</c:v>
                </c:pt>
                <c:pt idx="2">
                  <c:v>3</c:v>
                </c:pt>
                <c:pt idx="3">
                  <c:v>4.5</c:v>
                </c:pt>
                <c:pt idx="4">
                  <c:v>3</c:v>
                </c:pt>
                <c:pt idx="5">
                  <c:v>4</c:v>
                </c:pt>
                <c:pt idx="6">
                  <c:v>3</c:v>
                </c:pt>
                <c:pt idx="7">
                  <c:v>3.7</c:v>
                </c:pt>
                <c:pt idx="8">
                  <c:v>3.5</c:v>
                </c:pt>
                <c:pt idx="9">
                  <c:v>4</c:v>
                </c:pt>
                <c:pt idx="10">
                  <c:v>3.5</c:v>
                </c:pt>
                <c:pt idx="11">
                  <c:v>3.2</c:v>
                </c:pt>
                <c:pt idx="12">
                  <c:v>4</c:v>
                </c:pt>
                <c:pt idx="13">
                  <c:v>3.5</c:v>
                </c:pt>
                <c:pt idx="14">
                  <c:v>2.7</c:v>
                </c:pt>
              </c:numCache>
            </c:numRef>
          </c:xVal>
          <c:yVal>
            <c:numRef>
              <c:f>'Multiple Linear Regression_ 5_1'!$D$3:$D$17</c:f>
              <c:numCache>
                <c:formatCode>General</c:formatCode>
                <c:ptCount val="15"/>
                <c:pt idx="0">
                  <c:v>350</c:v>
                </c:pt>
                <c:pt idx="1">
                  <c:v>460</c:v>
                </c:pt>
                <c:pt idx="2">
                  <c:v>350</c:v>
                </c:pt>
                <c:pt idx="3">
                  <c:v>430</c:v>
                </c:pt>
                <c:pt idx="4">
                  <c:v>350</c:v>
                </c:pt>
                <c:pt idx="5">
                  <c:v>380</c:v>
                </c:pt>
                <c:pt idx="6">
                  <c:v>430</c:v>
                </c:pt>
                <c:pt idx="7">
                  <c:v>470</c:v>
                </c:pt>
                <c:pt idx="8">
                  <c:v>450</c:v>
                </c:pt>
                <c:pt idx="9">
                  <c:v>490</c:v>
                </c:pt>
                <c:pt idx="10">
                  <c:v>340</c:v>
                </c:pt>
                <c:pt idx="11">
                  <c:v>300</c:v>
                </c:pt>
                <c:pt idx="12">
                  <c:v>440</c:v>
                </c:pt>
                <c:pt idx="13">
                  <c:v>450</c:v>
                </c:pt>
                <c:pt idx="14">
                  <c:v>300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DE-4A4B-A72D-FEC38E2FD64D}"/>
            </c:ext>
          </c:extLst>
        </c:ser>
        <c:ser>
          <c:idx val="1"/>
          <c:order val="1"/>
          <c:tx>
            <c:v>Predicted Pie Sales</c:v>
          </c:tx>
          <c:spPr>
            <a:ln w="19050">
              <a:noFill/>
            </a:ln>
          </c:spPr>
          <c:xVal>
            <c:numRef>
              <c:f>'Multiple Linear Regression_ 5_1'!$F$3:$F$17</c:f>
              <c:numCache>
                <c:formatCode>General</c:formatCode>
                <c:ptCount val="15"/>
                <c:pt idx="0">
                  <c:v>3.3</c:v>
                </c:pt>
                <c:pt idx="1">
                  <c:v>3.3</c:v>
                </c:pt>
                <c:pt idx="2">
                  <c:v>3</c:v>
                </c:pt>
                <c:pt idx="3">
                  <c:v>4.5</c:v>
                </c:pt>
                <c:pt idx="4">
                  <c:v>3</c:v>
                </c:pt>
                <c:pt idx="5">
                  <c:v>4</c:v>
                </c:pt>
                <c:pt idx="6">
                  <c:v>3</c:v>
                </c:pt>
                <c:pt idx="7">
                  <c:v>3.7</c:v>
                </c:pt>
                <c:pt idx="8">
                  <c:v>3.5</c:v>
                </c:pt>
                <c:pt idx="9">
                  <c:v>4</c:v>
                </c:pt>
                <c:pt idx="10">
                  <c:v>3.5</c:v>
                </c:pt>
                <c:pt idx="11">
                  <c:v>3.2</c:v>
                </c:pt>
                <c:pt idx="12">
                  <c:v>4</c:v>
                </c:pt>
                <c:pt idx="13">
                  <c:v>3.5</c:v>
                </c:pt>
                <c:pt idx="14">
                  <c:v>2.7</c:v>
                </c:pt>
              </c:numCache>
            </c:numRef>
          </c:xVal>
          <c:yVal>
            <c:numRef>
              <c:f>'Multiple Linear Regression_ 5_1'!$I$28:$I$42</c:f>
              <c:numCache>
                <c:formatCode>General</c:formatCode>
                <c:ptCount val="15"/>
                <c:pt idx="0">
                  <c:v>413.79536064854062</c:v>
                </c:pt>
                <c:pt idx="1">
                  <c:v>363.84518161288679</c:v>
                </c:pt>
                <c:pt idx="2">
                  <c:v>329.11834960735098</c:v>
                </c:pt>
                <c:pt idx="3">
                  <c:v>440.31478584046243</c:v>
                </c:pt>
                <c:pt idx="4">
                  <c:v>359.08845702874333</c:v>
                </c:pt>
                <c:pt idx="5">
                  <c:v>415.73685185500545</c:v>
                </c:pt>
                <c:pt idx="6">
                  <c:v>416.53116291974527</c:v>
                </c:pt>
                <c:pt idx="7">
                  <c:v>420.97016307799277</c:v>
                </c:pt>
                <c:pt idx="8">
                  <c:v>391.15891786954842</c:v>
                </c:pt>
                <c:pt idx="9">
                  <c:v>478.17457564957283</c:v>
                </c:pt>
                <c:pt idx="10">
                  <c:v>386.16389996598309</c:v>
                </c:pt>
                <c:pt idx="11">
                  <c:v>346.4420500568819</c:v>
                </c:pt>
                <c:pt idx="12">
                  <c:v>455.69699508352858</c:v>
                </c:pt>
                <c:pt idx="13">
                  <c:v>441.10909690520236</c:v>
                </c:pt>
                <c:pt idx="14">
                  <c:v>331.85415187855568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6DE-4A4B-A72D-FEC38E2FD6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9612624"/>
        <c:axId val="931120256"/>
      </c:scatterChart>
      <c:valAx>
        <c:axId val="17396126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Advertising ($100s)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31120256"/>
        <c:crosses val="autoZero"/>
        <c:crossBetween val="midCat"/>
      </c:valAx>
      <c:valAx>
        <c:axId val="93112025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Pie Sales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3961262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'Multiple Linear Regression_ 5_1'!$M$28:$M$42</c:f>
              <c:numCache>
                <c:formatCode>General</c:formatCode>
                <c:ptCount val="15"/>
                <c:pt idx="0">
                  <c:v>3.3333333333333335</c:v>
                </c:pt>
                <c:pt idx="1">
                  <c:v>10</c:v>
                </c:pt>
                <c:pt idx="2">
                  <c:v>16.666666666666668</c:v>
                </c:pt>
                <c:pt idx="3">
                  <c:v>23.333333333333332</c:v>
                </c:pt>
                <c:pt idx="4">
                  <c:v>30</c:v>
                </c:pt>
                <c:pt idx="5">
                  <c:v>36.666666666666671</c:v>
                </c:pt>
                <c:pt idx="6">
                  <c:v>43.333333333333336</c:v>
                </c:pt>
                <c:pt idx="7">
                  <c:v>50.000000000000007</c:v>
                </c:pt>
                <c:pt idx="8">
                  <c:v>56.666666666666671</c:v>
                </c:pt>
                <c:pt idx="9">
                  <c:v>63.333333333333336</c:v>
                </c:pt>
                <c:pt idx="10">
                  <c:v>70</c:v>
                </c:pt>
                <c:pt idx="11">
                  <c:v>76.666666666666671</c:v>
                </c:pt>
                <c:pt idx="12">
                  <c:v>83.333333333333329</c:v>
                </c:pt>
                <c:pt idx="13">
                  <c:v>90</c:v>
                </c:pt>
                <c:pt idx="14">
                  <c:v>96.666666666666671</c:v>
                </c:pt>
              </c:numCache>
            </c:numRef>
          </c:xVal>
          <c:yVal>
            <c:numRef>
              <c:f>'Multiple Linear Regression_ 5_1'!$N$28:$N$42</c:f>
              <c:numCache>
                <c:formatCode>General</c:formatCode>
                <c:ptCount val="15"/>
                <c:pt idx="0">
                  <c:v>300</c:v>
                </c:pt>
                <c:pt idx="1">
                  <c:v>300</c:v>
                </c:pt>
                <c:pt idx="2">
                  <c:v>340</c:v>
                </c:pt>
                <c:pt idx="3">
                  <c:v>350</c:v>
                </c:pt>
                <c:pt idx="4">
                  <c:v>350</c:v>
                </c:pt>
                <c:pt idx="5">
                  <c:v>350</c:v>
                </c:pt>
                <c:pt idx="6">
                  <c:v>380</c:v>
                </c:pt>
                <c:pt idx="7">
                  <c:v>430</c:v>
                </c:pt>
                <c:pt idx="8">
                  <c:v>430</c:v>
                </c:pt>
                <c:pt idx="9">
                  <c:v>440</c:v>
                </c:pt>
                <c:pt idx="10">
                  <c:v>450</c:v>
                </c:pt>
                <c:pt idx="11">
                  <c:v>450</c:v>
                </c:pt>
                <c:pt idx="12">
                  <c:v>460</c:v>
                </c:pt>
                <c:pt idx="13">
                  <c:v>470</c:v>
                </c:pt>
                <c:pt idx="14">
                  <c:v>490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68-4B45-9EFC-7B908D9F07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0793984"/>
        <c:axId val="1689719056"/>
      </c:scatterChart>
      <c:valAx>
        <c:axId val="9307939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89719056"/>
        <c:crosses val="autoZero"/>
        <c:crossBetween val="midCat"/>
      </c:valAx>
      <c:valAx>
        <c:axId val="168971905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Pie Sales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30793984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9525</xdr:colOff>
      <xdr:row>5</xdr:row>
      <xdr:rowOff>180975</xdr:rowOff>
    </xdr:from>
    <xdr:to>
      <xdr:col>10</xdr:col>
      <xdr:colOff>619125</xdr:colOff>
      <xdr:row>6</xdr:row>
      <xdr:rowOff>180976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6B94308D-4C46-4A80-8FC1-907C4220B360}"/>
            </a:ext>
          </a:extLst>
        </xdr:cNvPr>
        <xdr:cNvSpPr txBox="1">
          <a:spLocks noChangeArrowheads="1"/>
        </xdr:cNvSpPr>
      </xdr:nvSpPr>
      <xdr:spPr bwMode="auto">
        <a:xfrm>
          <a:off x="7553325" y="1257300"/>
          <a:ext cx="609600" cy="20002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=SSR/SST</a:t>
          </a:r>
        </a:p>
      </xdr:txBody>
    </xdr:sp>
    <xdr:clientData/>
  </xdr:twoCellAnchor>
  <xdr:twoCellAnchor>
    <xdr:from>
      <xdr:col>10</xdr:col>
      <xdr:colOff>9525</xdr:colOff>
      <xdr:row>7</xdr:row>
      <xdr:rowOff>0</xdr:rowOff>
    </xdr:from>
    <xdr:to>
      <xdr:col>12</xdr:col>
      <xdr:colOff>219075</xdr:colOff>
      <xdr:row>8</xdr:row>
      <xdr:rowOff>9525</xdr:rowOff>
    </xdr:to>
    <xdr:sp macro="" textlink="">
      <xdr:nvSpPr>
        <xdr:cNvPr id="1026" name="Text Box 2">
          <a:extLst>
            <a:ext uri="{FF2B5EF4-FFF2-40B4-BE49-F238E27FC236}">
              <a16:creationId xmlns:a16="http://schemas.microsoft.com/office/drawing/2014/main" id="{A9E3FE1C-A45B-4F17-9274-9FBF483E53DB}"/>
            </a:ext>
          </a:extLst>
        </xdr:cNvPr>
        <xdr:cNvSpPr txBox="1">
          <a:spLocks noChangeArrowheads="1"/>
        </xdr:cNvSpPr>
      </xdr:nvSpPr>
      <xdr:spPr bwMode="auto">
        <a:xfrm>
          <a:off x="7553325" y="1476375"/>
          <a:ext cx="1809750" cy="2095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=1 - ( SSE / n-k-1 ) / ( SST / n-1 )</a:t>
          </a:r>
        </a:p>
      </xdr:txBody>
    </xdr:sp>
    <xdr:clientData/>
  </xdr:twoCellAnchor>
  <xdr:twoCellAnchor>
    <xdr:from>
      <xdr:col>11</xdr:col>
      <xdr:colOff>9524</xdr:colOff>
      <xdr:row>8</xdr:row>
      <xdr:rowOff>28574</xdr:rowOff>
    </xdr:from>
    <xdr:to>
      <xdr:col>13</xdr:col>
      <xdr:colOff>247649</xdr:colOff>
      <xdr:row>9</xdr:row>
      <xdr:rowOff>47625</xdr:rowOff>
    </xdr:to>
    <xdr:sp macro="" textlink="">
      <xdr:nvSpPr>
        <xdr:cNvPr id="1027" name="Text Box 3">
          <a:extLst>
            <a:ext uri="{FF2B5EF4-FFF2-40B4-BE49-F238E27FC236}">
              <a16:creationId xmlns:a16="http://schemas.microsoft.com/office/drawing/2014/main" id="{8D5DAEC2-774E-4F77-9B47-CD67A3C20CC6}"/>
            </a:ext>
          </a:extLst>
        </xdr:cNvPr>
        <xdr:cNvSpPr txBox="1">
          <a:spLocks noChangeArrowheads="1"/>
        </xdr:cNvSpPr>
      </xdr:nvSpPr>
      <xdr:spPr bwMode="auto">
        <a:xfrm>
          <a:off x="8353424" y="1704974"/>
          <a:ext cx="1838325" cy="21907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=1-(( 1-R_Square ) * n-1 / n-k-1)</a:t>
          </a:r>
        </a:p>
      </xdr:txBody>
    </xdr:sp>
    <xdr:clientData/>
  </xdr:twoCellAnchor>
  <xdr:twoCellAnchor>
    <xdr:from>
      <xdr:col>7</xdr:col>
      <xdr:colOff>1104900</xdr:colOff>
      <xdr:row>12</xdr:row>
      <xdr:rowOff>114299</xdr:rowOff>
    </xdr:from>
    <xdr:to>
      <xdr:col>8</xdr:col>
      <xdr:colOff>142875</xdr:colOff>
      <xdr:row>13</xdr:row>
      <xdr:rowOff>142875</xdr:rowOff>
    </xdr:to>
    <xdr:sp macro="" textlink="">
      <xdr:nvSpPr>
        <xdr:cNvPr id="7" name="Callout: Line 6">
          <a:extLst>
            <a:ext uri="{FF2B5EF4-FFF2-40B4-BE49-F238E27FC236}">
              <a16:creationId xmlns:a16="http://schemas.microsoft.com/office/drawing/2014/main" id="{D939A51F-3F40-4921-916A-043A5D63C096}"/>
            </a:ext>
          </a:extLst>
        </xdr:cNvPr>
        <xdr:cNvSpPr/>
      </xdr:nvSpPr>
      <xdr:spPr>
        <a:xfrm flipH="1">
          <a:off x="5838825" y="2609849"/>
          <a:ext cx="247650" cy="228601"/>
        </a:xfrm>
        <a:prstGeom prst="borderCallout1">
          <a:avLst>
            <a:gd name="adj1" fmla="val 18750"/>
            <a:gd name="adj2" fmla="val -8333"/>
            <a:gd name="adj3" fmla="val 78125"/>
            <a:gd name="adj4" fmla="val -192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az-Latn-AZ" sz="1100"/>
            <a:t>k</a:t>
          </a:r>
          <a:endParaRPr lang="en-US" sz="1100"/>
        </a:p>
      </xdr:txBody>
    </xdr:sp>
    <xdr:clientData/>
  </xdr:twoCellAnchor>
  <xdr:twoCellAnchor>
    <xdr:from>
      <xdr:col>7</xdr:col>
      <xdr:colOff>1019174</xdr:colOff>
      <xdr:row>13</xdr:row>
      <xdr:rowOff>171451</xdr:rowOff>
    </xdr:from>
    <xdr:to>
      <xdr:col>8</xdr:col>
      <xdr:colOff>314324</xdr:colOff>
      <xdr:row>15</xdr:row>
      <xdr:rowOff>9525</xdr:rowOff>
    </xdr:to>
    <xdr:sp macro="" textlink="">
      <xdr:nvSpPr>
        <xdr:cNvPr id="12" name="Callout: Line 11">
          <a:extLst>
            <a:ext uri="{FF2B5EF4-FFF2-40B4-BE49-F238E27FC236}">
              <a16:creationId xmlns:a16="http://schemas.microsoft.com/office/drawing/2014/main" id="{C1CDAEC0-E3F0-4943-9D01-52B6E6610FC5}"/>
            </a:ext>
          </a:extLst>
        </xdr:cNvPr>
        <xdr:cNvSpPr/>
      </xdr:nvSpPr>
      <xdr:spPr>
        <a:xfrm flipH="1">
          <a:off x="5753099" y="2867026"/>
          <a:ext cx="504825" cy="238124"/>
        </a:xfrm>
        <a:prstGeom prst="borderCallout1">
          <a:avLst>
            <a:gd name="adj1" fmla="val 18750"/>
            <a:gd name="adj2" fmla="val -8333"/>
            <a:gd name="adj3" fmla="val 57125"/>
            <a:gd name="adj4" fmla="val -54951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az-Latn-AZ" sz="1100"/>
            <a:t>n-k-1</a:t>
          </a:r>
          <a:endParaRPr lang="en-US" sz="1100"/>
        </a:p>
      </xdr:txBody>
    </xdr:sp>
    <xdr:clientData/>
  </xdr:twoCellAnchor>
  <xdr:twoCellAnchor>
    <xdr:from>
      <xdr:col>7</xdr:col>
      <xdr:colOff>1076322</xdr:colOff>
      <xdr:row>15</xdr:row>
      <xdr:rowOff>28575</xdr:rowOff>
    </xdr:from>
    <xdr:to>
      <xdr:col>8</xdr:col>
      <xdr:colOff>238124</xdr:colOff>
      <xdr:row>16</xdr:row>
      <xdr:rowOff>66674</xdr:rowOff>
    </xdr:to>
    <xdr:sp macro="" textlink="">
      <xdr:nvSpPr>
        <xdr:cNvPr id="13" name="Callout: Line 12">
          <a:extLst>
            <a:ext uri="{FF2B5EF4-FFF2-40B4-BE49-F238E27FC236}">
              <a16:creationId xmlns:a16="http://schemas.microsoft.com/office/drawing/2014/main" id="{1BE16290-A812-451A-BE22-FBFDA31DA120}"/>
            </a:ext>
          </a:extLst>
        </xdr:cNvPr>
        <xdr:cNvSpPr/>
      </xdr:nvSpPr>
      <xdr:spPr>
        <a:xfrm flipH="1">
          <a:off x="5810247" y="3124200"/>
          <a:ext cx="371477" cy="247649"/>
        </a:xfrm>
        <a:prstGeom prst="borderCallout1">
          <a:avLst>
            <a:gd name="adj1" fmla="val 18750"/>
            <a:gd name="adj2" fmla="val -8333"/>
            <a:gd name="adj3" fmla="val 33125"/>
            <a:gd name="adj4" fmla="val -93064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az-Latn-AZ" sz="1100"/>
            <a:t>n-1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1104900</xdr:colOff>
      <xdr:row>12</xdr:row>
      <xdr:rowOff>114299</xdr:rowOff>
    </xdr:from>
    <xdr:to>
      <xdr:col>8</xdr:col>
      <xdr:colOff>142875</xdr:colOff>
      <xdr:row>13</xdr:row>
      <xdr:rowOff>142875</xdr:rowOff>
    </xdr:to>
    <xdr:sp macro="" textlink="">
      <xdr:nvSpPr>
        <xdr:cNvPr id="5" name="Callout: Line 4">
          <a:extLst>
            <a:ext uri="{FF2B5EF4-FFF2-40B4-BE49-F238E27FC236}">
              <a16:creationId xmlns:a16="http://schemas.microsoft.com/office/drawing/2014/main" id="{06B9A56D-1057-4E93-896E-561596DD8A86}"/>
            </a:ext>
          </a:extLst>
        </xdr:cNvPr>
        <xdr:cNvSpPr/>
      </xdr:nvSpPr>
      <xdr:spPr>
        <a:xfrm flipH="1">
          <a:off x="5838825" y="2514599"/>
          <a:ext cx="247650" cy="228601"/>
        </a:xfrm>
        <a:prstGeom prst="borderCallout1">
          <a:avLst>
            <a:gd name="adj1" fmla="val 18750"/>
            <a:gd name="adj2" fmla="val -8333"/>
            <a:gd name="adj3" fmla="val 78125"/>
            <a:gd name="adj4" fmla="val -192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az-Latn-AZ" sz="1100"/>
            <a:t>k</a:t>
          </a:r>
          <a:endParaRPr lang="en-US" sz="1100"/>
        </a:p>
      </xdr:txBody>
    </xdr:sp>
    <xdr:clientData/>
  </xdr:twoCellAnchor>
  <xdr:twoCellAnchor>
    <xdr:from>
      <xdr:col>7</xdr:col>
      <xdr:colOff>1019174</xdr:colOff>
      <xdr:row>13</xdr:row>
      <xdr:rowOff>171451</xdr:rowOff>
    </xdr:from>
    <xdr:to>
      <xdr:col>8</xdr:col>
      <xdr:colOff>314324</xdr:colOff>
      <xdr:row>15</xdr:row>
      <xdr:rowOff>9525</xdr:rowOff>
    </xdr:to>
    <xdr:sp macro="" textlink="">
      <xdr:nvSpPr>
        <xdr:cNvPr id="6" name="Callout: Line 5">
          <a:extLst>
            <a:ext uri="{FF2B5EF4-FFF2-40B4-BE49-F238E27FC236}">
              <a16:creationId xmlns:a16="http://schemas.microsoft.com/office/drawing/2014/main" id="{5906A500-990D-4FDC-889E-3AE206095F8A}"/>
            </a:ext>
          </a:extLst>
        </xdr:cNvPr>
        <xdr:cNvSpPr/>
      </xdr:nvSpPr>
      <xdr:spPr>
        <a:xfrm flipH="1">
          <a:off x="5753099" y="2771776"/>
          <a:ext cx="504825" cy="238124"/>
        </a:xfrm>
        <a:prstGeom prst="borderCallout1">
          <a:avLst>
            <a:gd name="adj1" fmla="val 18750"/>
            <a:gd name="adj2" fmla="val -8333"/>
            <a:gd name="adj3" fmla="val 57125"/>
            <a:gd name="adj4" fmla="val -54951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az-Latn-AZ" sz="1100"/>
            <a:t>n-k-1</a:t>
          </a:r>
          <a:endParaRPr lang="en-US" sz="1100"/>
        </a:p>
      </xdr:txBody>
    </xdr:sp>
    <xdr:clientData/>
  </xdr:twoCellAnchor>
  <xdr:twoCellAnchor>
    <xdr:from>
      <xdr:col>7</xdr:col>
      <xdr:colOff>1076322</xdr:colOff>
      <xdr:row>15</xdr:row>
      <xdr:rowOff>28575</xdr:rowOff>
    </xdr:from>
    <xdr:to>
      <xdr:col>8</xdr:col>
      <xdr:colOff>238124</xdr:colOff>
      <xdr:row>16</xdr:row>
      <xdr:rowOff>66674</xdr:rowOff>
    </xdr:to>
    <xdr:sp macro="" textlink="">
      <xdr:nvSpPr>
        <xdr:cNvPr id="7" name="Callout: Line 6">
          <a:extLst>
            <a:ext uri="{FF2B5EF4-FFF2-40B4-BE49-F238E27FC236}">
              <a16:creationId xmlns:a16="http://schemas.microsoft.com/office/drawing/2014/main" id="{50CAF4BA-5C83-43C6-A3B0-B0E6E96CF9EA}"/>
            </a:ext>
          </a:extLst>
        </xdr:cNvPr>
        <xdr:cNvSpPr/>
      </xdr:nvSpPr>
      <xdr:spPr>
        <a:xfrm flipH="1">
          <a:off x="5810247" y="3028950"/>
          <a:ext cx="371477" cy="247649"/>
        </a:xfrm>
        <a:prstGeom prst="borderCallout1">
          <a:avLst>
            <a:gd name="adj1" fmla="val 18750"/>
            <a:gd name="adj2" fmla="val -8333"/>
            <a:gd name="adj3" fmla="val 33125"/>
            <a:gd name="adj4" fmla="val -93064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az-Latn-AZ" sz="1100"/>
            <a:t>n-1</a:t>
          </a:r>
          <a:endParaRPr lang="en-US" sz="1100"/>
        </a:p>
      </xdr:txBody>
    </xdr:sp>
    <xdr:clientData/>
  </xdr:twoCellAnchor>
  <xdr:twoCellAnchor>
    <xdr:from>
      <xdr:col>11</xdr:col>
      <xdr:colOff>57150</xdr:colOff>
      <xdr:row>9</xdr:row>
      <xdr:rowOff>123825</xdr:rowOff>
    </xdr:from>
    <xdr:to>
      <xdr:col>11</xdr:col>
      <xdr:colOff>762000</xdr:colOff>
      <xdr:row>10</xdr:row>
      <xdr:rowOff>133350</xdr:rowOff>
    </xdr:to>
    <xdr:sp macro="" textlink="">
      <xdr:nvSpPr>
        <xdr:cNvPr id="3073" name="Text Box 1">
          <a:extLst>
            <a:ext uri="{FF2B5EF4-FFF2-40B4-BE49-F238E27FC236}">
              <a16:creationId xmlns:a16="http://schemas.microsoft.com/office/drawing/2014/main" id="{AAE3C83E-E848-4EA7-988C-406774E6E830}"/>
            </a:ext>
          </a:extLst>
        </xdr:cNvPr>
        <xdr:cNvSpPr txBox="1">
          <a:spLocks noChangeArrowheads="1"/>
        </xdr:cNvSpPr>
      </xdr:nvSpPr>
      <xdr:spPr bwMode="auto">
        <a:xfrm>
          <a:off x="8401050" y="1943100"/>
          <a:ext cx="704850" cy="219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=MSR/MSE</a:t>
          </a:r>
        </a:p>
      </xdr:txBody>
    </xdr:sp>
    <xdr:clientData/>
  </xdr:twoCellAnchor>
  <xdr:twoCellAnchor>
    <xdr:from>
      <xdr:col>12</xdr:col>
      <xdr:colOff>76199</xdr:colOff>
      <xdr:row>9</xdr:row>
      <xdr:rowOff>123825</xdr:rowOff>
    </xdr:from>
    <xdr:to>
      <xdr:col>14</xdr:col>
      <xdr:colOff>295274</xdr:colOff>
      <xdr:row>10</xdr:row>
      <xdr:rowOff>133350</xdr:rowOff>
    </xdr:to>
    <xdr:sp macro="" textlink="">
      <xdr:nvSpPr>
        <xdr:cNvPr id="3074" name="Text Box 2">
          <a:extLst>
            <a:ext uri="{FF2B5EF4-FFF2-40B4-BE49-F238E27FC236}">
              <a16:creationId xmlns:a16="http://schemas.microsoft.com/office/drawing/2014/main" id="{100492DF-731B-41D5-9D7F-1542E3D9AD8F}"/>
            </a:ext>
          </a:extLst>
        </xdr:cNvPr>
        <xdr:cNvSpPr txBox="1">
          <a:spLocks noChangeArrowheads="1"/>
        </xdr:cNvSpPr>
      </xdr:nvSpPr>
      <xdr:spPr bwMode="auto">
        <a:xfrm>
          <a:off x="9220199" y="1943100"/>
          <a:ext cx="1819275" cy="219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=F.DIST.RT(6.538606789, 2, 12)</a:t>
          </a:r>
        </a:p>
      </xdr:txBody>
    </xdr:sp>
    <xdr:clientData/>
  </xdr:twoCellAnchor>
  <xdr:twoCellAnchor>
    <xdr:from>
      <xdr:col>11</xdr:col>
      <xdr:colOff>171450</xdr:colOff>
      <xdr:row>5</xdr:row>
      <xdr:rowOff>152400</xdr:rowOff>
    </xdr:from>
    <xdr:to>
      <xdr:col>12</xdr:col>
      <xdr:colOff>647700</xdr:colOff>
      <xdr:row>6</xdr:row>
      <xdr:rowOff>152400</xdr:rowOff>
    </xdr:to>
    <xdr:sp macro="" textlink="">
      <xdr:nvSpPr>
        <xdr:cNvPr id="3075" name="Text Box 3">
          <a:extLst>
            <a:ext uri="{FF2B5EF4-FFF2-40B4-BE49-F238E27FC236}">
              <a16:creationId xmlns:a16="http://schemas.microsoft.com/office/drawing/2014/main" id="{7F6099FA-454E-44CE-9D64-B71E1A084215}"/>
            </a:ext>
          </a:extLst>
        </xdr:cNvPr>
        <xdr:cNvSpPr txBox="1">
          <a:spLocks noChangeArrowheads="1"/>
        </xdr:cNvSpPr>
      </xdr:nvSpPr>
      <xdr:spPr bwMode="auto">
        <a:xfrm>
          <a:off x="8515350" y="1171575"/>
          <a:ext cx="127635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=F.INV.RT(0.05, 2, 12)</a:t>
          </a:r>
        </a:p>
      </xdr:txBody>
    </xdr:sp>
    <xdr:clientData/>
  </xdr:twoCellAnchor>
  <xdr:twoCellAnchor>
    <xdr:from>
      <xdr:col>14</xdr:col>
      <xdr:colOff>9525</xdr:colOff>
      <xdr:row>7</xdr:row>
      <xdr:rowOff>190500</xdr:rowOff>
    </xdr:from>
    <xdr:to>
      <xdr:col>15</xdr:col>
      <xdr:colOff>295275</xdr:colOff>
      <xdr:row>9</xdr:row>
      <xdr:rowOff>0</xdr:rowOff>
    </xdr:to>
    <xdr:sp macro="" textlink="">
      <xdr:nvSpPr>
        <xdr:cNvPr id="3076" name="Text Box 4">
          <a:extLst>
            <a:ext uri="{FF2B5EF4-FFF2-40B4-BE49-F238E27FC236}">
              <a16:creationId xmlns:a16="http://schemas.microsoft.com/office/drawing/2014/main" id="{534299D2-F7AB-4741-A977-349FCEB29E9A}"/>
            </a:ext>
          </a:extLst>
        </xdr:cNvPr>
        <xdr:cNvSpPr txBox="1">
          <a:spLocks noChangeArrowheads="1"/>
        </xdr:cNvSpPr>
      </xdr:nvSpPr>
      <xdr:spPr bwMode="auto">
        <a:xfrm>
          <a:off x="10753725" y="1609725"/>
          <a:ext cx="1085850" cy="2095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=F.INV(0.95, 2, 12)</a:t>
          </a:r>
        </a:p>
      </xdr:txBody>
    </xdr:sp>
    <xdr:clientData/>
  </xdr:twoCellAnchor>
  <xdr:twoCellAnchor>
    <xdr:from>
      <xdr:col>13</xdr:col>
      <xdr:colOff>28575</xdr:colOff>
      <xdr:row>13</xdr:row>
      <xdr:rowOff>114300</xdr:rowOff>
    </xdr:from>
    <xdr:to>
      <xdr:col>13</xdr:col>
      <xdr:colOff>219075</xdr:colOff>
      <xdr:row>13</xdr:row>
      <xdr:rowOff>114301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8328065B-C42F-4C56-B084-D0CB7AE2C848}"/>
            </a:ext>
          </a:extLst>
        </xdr:cNvPr>
        <xdr:cNvCxnSpPr/>
      </xdr:nvCxnSpPr>
      <xdr:spPr>
        <a:xfrm flipV="1">
          <a:off x="9058275" y="2695575"/>
          <a:ext cx="190500" cy="1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1057274</xdr:colOff>
      <xdr:row>21</xdr:row>
      <xdr:rowOff>19050</xdr:rowOff>
    </xdr:from>
    <xdr:to>
      <xdr:col>9</xdr:col>
      <xdr:colOff>123824</xdr:colOff>
      <xdr:row>22</xdr:row>
      <xdr:rowOff>28575</xdr:rowOff>
    </xdr:to>
    <xdr:sp macro="" textlink="">
      <xdr:nvSpPr>
        <xdr:cNvPr id="3077" name="Text Box 5">
          <a:extLst>
            <a:ext uri="{FF2B5EF4-FFF2-40B4-BE49-F238E27FC236}">
              <a16:creationId xmlns:a16="http://schemas.microsoft.com/office/drawing/2014/main" id="{D70A549A-B545-4FF0-9F8A-3456AA533DC7}"/>
            </a:ext>
          </a:extLst>
        </xdr:cNvPr>
        <xdr:cNvSpPr txBox="1">
          <a:spLocks noChangeArrowheads="1"/>
        </xdr:cNvSpPr>
      </xdr:nvSpPr>
      <xdr:spPr bwMode="auto">
        <a:xfrm>
          <a:off x="3305174" y="4038600"/>
          <a:ext cx="2714625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+mn-lt"/>
            </a:rPr>
            <a:t>=Standard_Error/SQRT(VAR.P(Advertising)*15)</a:t>
          </a:r>
        </a:p>
      </xdr:txBody>
    </xdr:sp>
    <xdr:clientData/>
  </xdr:twoCellAnchor>
  <xdr:twoCellAnchor editAs="oneCell">
    <xdr:from>
      <xdr:col>1</xdr:col>
      <xdr:colOff>0</xdr:colOff>
      <xdr:row>17</xdr:row>
      <xdr:rowOff>26988</xdr:rowOff>
    </xdr:from>
    <xdr:to>
      <xdr:col>3</xdr:col>
      <xdr:colOff>180975</xdr:colOff>
      <xdr:row>20</xdr:row>
      <xdr:rowOff>5556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76C12C0-A419-4943-998D-C7CF46F519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3275013"/>
          <a:ext cx="942975" cy="550068"/>
        </a:xfrm>
        <a:prstGeom prst="rect">
          <a:avLst/>
        </a:prstGeom>
      </xdr:spPr>
    </xdr:pic>
    <xdr:clientData/>
  </xdr:twoCellAnchor>
  <xdr:twoCellAnchor>
    <xdr:from>
      <xdr:col>11</xdr:col>
      <xdr:colOff>19048</xdr:colOff>
      <xdr:row>21</xdr:row>
      <xdr:rowOff>19051</xdr:rowOff>
    </xdr:from>
    <xdr:to>
      <xdr:col>13</xdr:col>
      <xdr:colOff>114299</xdr:colOff>
      <xdr:row>22</xdr:row>
      <xdr:rowOff>38101</xdr:rowOff>
    </xdr:to>
    <xdr:sp macro="" textlink="">
      <xdr:nvSpPr>
        <xdr:cNvPr id="3078" name="Text Box 6">
          <a:extLst>
            <a:ext uri="{FF2B5EF4-FFF2-40B4-BE49-F238E27FC236}">
              <a16:creationId xmlns:a16="http://schemas.microsoft.com/office/drawing/2014/main" id="{FFC13E07-91E5-4420-8798-0418D45A2CD2}"/>
            </a:ext>
          </a:extLst>
        </xdr:cNvPr>
        <xdr:cNvSpPr txBox="1">
          <a:spLocks noChangeArrowheads="1"/>
        </xdr:cNvSpPr>
      </xdr:nvSpPr>
      <xdr:spPr bwMode="auto">
        <a:xfrm>
          <a:off x="7839073" y="4067176"/>
          <a:ext cx="1695451" cy="2095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=B_2 - 0  /Standrt_Error_B_2</a:t>
          </a:r>
        </a:p>
      </xdr:txBody>
    </xdr:sp>
    <xdr:clientData/>
  </xdr:twoCellAnchor>
  <xdr:twoCellAnchor>
    <xdr:from>
      <xdr:col>15</xdr:col>
      <xdr:colOff>19050</xdr:colOff>
      <xdr:row>21</xdr:row>
      <xdr:rowOff>19050</xdr:rowOff>
    </xdr:from>
    <xdr:to>
      <xdr:col>16</xdr:col>
      <xdr:colOff>342900</xdr:colOff>
      <xdr:row>22</xdr:row>
      <xdr:rowOff>9525</xdr:rowOff>
    </xdr:to>
    <xdr:sp macro="" textlink="">
      <xdr:nvSpPr>
        <xdr:cNvPr id="3079" name="Text Box 7">
          <a:extLst>
            <a:ext uri="{FF2B5EF4-FFF2-40B4-BE49-F238E27FC236}">
              <a16:creationId xmlns:a16="http://schemas.microsoft.com/office/drawing/2014/main" id="{FD648A9C-0266-4293-8AF8-BADDBF5407D9}"/>
            </a:ext>
          </a:extLst>
        </xdr:cNvPr>
        <xdr:cNvSpPr txBox="1">
          <a:spLocks noChangeArrowheads="1"/>
        </xdr:cNvSpPr>
      </xdr:nvSpPr>
      <xdr:spPr bwMode="auto">
        <a:xfrm>
          <a:off x="10829925" y="4038600"/>
          <a:ext cx="1123950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=T.INV.2T(0.05, 12)</a:t>
          </a:r>
        </a:p>
      </xdr:txBody>
    </xdr:sp>
    <xdr:clientData/>
  </xdr:twoCellAnchor>
  <xdr:twoCellAnchor>
    <xdr:from>
      <xdr:col>10</xdr:col>
      <xdr:colOff>495299</xdr:colOff>
      <xdr:row>15</xdr:row>
      <xdr:rowOff>19050</xdr:rowOff>
    </xdr:from>
    <xdr:to>
      <xdr:col>13</xdr:col>
      <xdr:colOff>323850</xdr:colOff>
      <xdr:row>16</xdr:row>
      <xdr:rowOff>19050</xdr:rowOff>
    </xdr:to>
    <xdr:sp macro="" textlink="">
      <xdr:nvSpPr>
        <xdr:cNvPr id="3081" name="Text Box 9">
          <a:extLst>
            <a:ext uri="{FF2B5EF4-FFF2-40B4-BE49-F238E27FC236}">
              <a16:creationId xmlns:a16="http://schemas.microsoft.com/office/drawing/2014/main" id="{3FB40F91-B155-4765-98D1-6086CFEDD496}"/>
            </a:ext>
          </a:extLst>
        </xdr:cNvPr>
        <xdr:cNvSpPr txBox="1">
          <a:spLocks noChangeArrowheads="1"/>
        </xdr:cNvSpPr>
      </xdr:nvSpPr>
      <xdr:spPr bwMode="auto">
        <a:xfrm>
          <a:off x="7305674" y="2886075"/>
          <a:ext cx="2228851" cy="2095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=B_2 - t_alfa_2* Standar_Error_B_2</a:t>
          </a:r>
        </a:p>
      </xdr:txBody>
    </xdr:sp>
    <xdr:clientData/>
  </xdr:twoCellAnchor>
  <xdr:twoCellAnchor>
    <xdr:from>
      <xdr:col>13</xdr:col>
      <xdr:colOff>380999</xdr:colOff>
      <xdr:row>15</xdr:row>
      <xdr:rowOff>9525</xdr:rowOff>
    </xdr:from>
    <xdr:to>
      <xdr:col>16</xdr:col>
      <xdr:colOff>209550</xdr:colOff>
      <xdr:row>16</xdr:row>
      <xdr:rowOff>9525</xdr:rowOff>
    </xdr:to>
    <xdr:sp macro="" textlink="">
      <xdr:nvSpPr>
        <xdr:cNvPr id="24" name="Text Box 9">
          <a:extLst>
            <a:ext uri="{FF2B5EF4-FFF2-40B4-BE49-F238E27FC236}">
              <a16:creationId xmlns:a16="http://schemas.microsoft.com/office/drawing/2014/main" id="{A1EF4C34-97F8-4481-A19B-1707298152D6}"/>
            </a:ext>
          </a:extLst>
        </xdr:cNvPr>
        <xdr:cNvSpPr txBox="1">
          <a:spLocks noChangeArrowheads="1"/>
        </xdr:cNvSpPr>
      </xdr:nvSpPr>
      <xdr:spPr bwMode="auto">
        <a:xfrm>
          <a:off x="9591674" y="2876550"/>
          <a:ext cx="2228851" cy="2095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=B_2 + t_alfa_2* Standar_Error_B_2</a:t>
          </a:r>
        </a:p>
      </xdr:txBody>
    </xdr:sp>
    <xdr:clientData/>
  </xdr:twoCellAnchor>
  <xdr:twoCellAnchor editAs="oneCell">
    <xdr:from>
      <xdr:col>0</xdr:col>
      <xdr:colOff>276224</xdr:colOff>
      <xdr:row>20</xdr:row>
      <xdr:rowOff>47625</xdr:rowOff>
    </xdr:from>
    <xdr:to>
      <xdr:col>3</xdr:col>
      <xdr:colOff>328453</xdr:colOff>
      <xdr:row>22</xdr:row>
      <xdr:rowOff>47625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4721CE33-A68A-4FCF-814C-474D90F842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6224" y="3867150"/>
          <a:ext cx="1099979" cy="390525"/>
        </a:xfrm>
        <a:prstGeom prst="rect">
          <a:avLst/>
        </a:prstGeom>
      </xdr:spPr>
    </xdr:pic>
    <xdr:clientData/>
  </xdr:twoCellAnchor>
  <xdr:twoCellAnchor editAs="oneCell">
    <xdr:from>
      <xdr:col>3</xdr:col>
      <xdr:colOff>209551</xdr:colOff>
      <xdr:row>17</xdr:row>
      <xdr:rowOff>38102</xdr:rowOff>
    </xdr:from>
    <xdr:to>
      <xdr:col>5</xdr:col>
      <xdr:colOff>933451</xdr:colOff>
      <xdr:row>20</xdr:row>
      <xdr:rowOff>3406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381E0E63-6028-4413-92A4-4D13AD89CF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57301" y="3286127"/>
          <a:ext cx="1924050" cy="536804"/>
        </a:xfrm>
        <a:prstGeom prst="rect">
          <a:avLst/>
        </a:prstGeom>
      </xdr:spPr>
    </xdr:pic>
    <xdr:clientData/>
  </xdr:twoCellAnchor>
  <xdr:twoCellAnchor editAs="oneCell">
    <xdr:from>
      <xdr:col>3</xdr:col>
      <xdr:colOff>352424</xdr:colOff>
      <xdr:row>20</xdr:row>
      <xdr:rowOff>28575</xdr:rowOff>
    </xdr:from>
    <xdr:to>
      <xdr:col>5</xdr:col>
      <xdr:colOff>860107</xdr:colOff>
      <xdr:row>22</xdr:row>
      <xdr:rowOff>57150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79BF2DD8-6B4D-43B5-98F7-CF76BCE05F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00174" y="3848100"/>
          <a:ext cx="1707833" cy="4191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1104900</xdr:colOff>
      <xdr:row>12</xdr:row>
      <xdr:rowOff>114299</xdr:rowOff>
    </xdr:from>
    <xdr:to>
      <xdr:col>8</xdr:col>
      <xdr:colOff>142875</xdr:colOff>
      <xdr:row>13</xdr:row>
      <xdr:rowOff>142875</xdr:rowOff>
    </xdr:to>
    <xdr:sp macro="" textlink="">
      <xdr:nvSpPr>
        <xdr:cNvPr id="5" name="Callout: Line 4">
          <a:extLst>
            <a:ext uri="{FF2B5EF4-FFF2-40B4-BE49-F238E27FC236}">
              <a16:creationId xmlns:a16="http://schemas.microsoft.com/office/drawing/2014/main" id="{EDBCE058-6E04-4825-8524-A266BF526003}"/>
            </a:ext>
          </a:extLst>
        </xdr:cNvPr>
        <xdr:cNvSpPr/>
      </xdr:nvSpPr>
      <xdr:spPr>
        <a:xfrm flipH="1">
          <a:off x="5838825" y="2514599"/>
          <a:ext cx="247650" cy="228601"/>
        </a:xfrm>
        <a:prstGeom prst="borderCallout1">
          <a:avLst>
            <a:gd name="adj1" fmla="val 18750"/>
            <a:gd name="adj2" fmla="val -8333"/>
            <a:gd name="adj3" fmla="val 78125"/>
            <a:gd name="adj4" fmla="val -192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az-Latn-AZ" sz="1100"/>
            <a:t>k</a:t>
          </a:r>
          <a:endParaRPr lang="en-US" sz="1100"/>
        </a:p>
      </xdr:txBody>
    </xdr:sp>
    <xdr:clientData/>
  </xdr:twoCellAnchor>
  <xdr:twoCellAnchor>
    <xdr:from>
      <xdr:col>7</xdr:col>
      <xdr:colOff>1019174</xdr:colOff>
      <xdr:row>13</xdr:row>
      <xdr:rowOff>171451</xdr:rowOff>
    </xdr:from>
    <xdr:to>
      <xdr:col>8</xdr:col>
      <xdr:colOff>314324</xdr:colOff>
      <xdr:row>15</xdr:row>
      <xdr:rowOff>9525</xdr:rowOff>
    </xdr:to>
    <xdr:sp macro="" textlink="">
      <xdr:nvSpPr>
        <xdr:cNvPr id="6" name="Callout: Line 5">
          <a:extLst>
            <a:ext uri="{FF2B5EF4-FFF2-40B4-BE49-F238E27FC236}">
              <a16:creationId xmlns:a16="http://schemas.microsoft.com/office/drawing/2014/main" id="{569FF4D9-42F8-4956-8388-93BE42256EFE}"/>
            </a:ext>
          </a:extLst>
        </xdr:cNvPr>
        <xdr:cNvSpPr/>
      </xdr:nvSpPr>
      <xdr:spPr>
        <a:xfrm flipH="1">
          <a:off x="5753099" y="2771776"/>
          <a:ext cx="504825" cy="238124"/>
        </a:xfrm>
        <a:prstGeom prst="borderCallout1">
          <a:avLst>
            <a:gd name="adj1" fmla="val 18750"/>
            <a:gd name="adj2" fmla="val -8333"/>
            <a:gd name="adj3" fmla="val 57125"/>
            <a:gd name="adj4" fmla="val -54951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az-Latn-AZ" sz="1100"/>
            <a:t>n-k-1</a:t>
          </a:r>
          <a:endParaRPr lang="en-US" sz="1100"/>
        </a:p>
      </xdr:txBody>
    </xdr:sp>
    <xdr:clientData/>
  </xdr:twoCellAnchor>
  <xdr:twoCellAnchor>
    <xdr:from>
      <xdr:col>7</xdr:col>
      <xdr:colOff>1143000</xdr:colOff>
      <xdr:row>18</xdr:row>
      <xdr:rowOff>142874</xdr:rowOff>
    </xdr:from>
    <xdr:to>
      <xdr:col>8</xdr:col>
      <xdr:colOff>180975</xdr:colOff>
      <xdr:row>19</xdr:row>
      <xdr:rowOff>152400</xdr:rowOff>
    </xdr:to>
    <xdr:sp macro="" textlink="">
      <xdr:nvSpPr>
        <xdr:cNvPr id="19" name="Callout: Line 18">
          <a:extLst>
            <a:ext uri="{FF2B5EF4-FFF2-40B4-BE49-F238E27FC236}">
              <a16:creationId xmlns:a16="http://schemas.microsoft.com/office/drawing/2014/main" id="{184A1E23-0711-488C-BADC-DCB420E40C59}"/>
            </a:ext>
          </a:extLst>
        </xdr:cNvPr>
        <xdr:cNvSpPr/>
      </xdr:nvSpPr>
      <xdr:spPr>
        <a:xfrm flipH="1">
          <a:off x="4933950" y="3495674"/>
          <a:ext cx="238125" cy="200026"/>
        </a:xfrm>
        <a:prstGeom prst="borderCallout1">
          <a:avLst>
            <a:gd name="adj1" fmla="val 18750"/>
            <a:gd name="adj2" fmla="val -8333"/>
            <a:gd name="adj3" fmla="val 78125"/>
            <a:gd name="adj4" fmla="val -192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az-Latn-AZ" sz="1100"/>
            <a:t>k</a:t>
          </a:r>
          <a:endParaRPr lang="en-US" sz="1100"/>
        </a:p>
      </xdr:txBody>
    </xdr:sp>
    <xdr:clientData/>
  </xdr:twoCellAnchor>
  <xdr:twoCellAnchor>
    <xdr:from>
      <xdr:col>7</xdr:col>
      <xdr:colOff>1028699</xdr:colOff>
      <xdr:row>19</xdr:row>
      <xdr:rowOff>171451</xdr:rowOff>
    </xdr:from>
    <xdr:to>
      <xdr:col>8</xdr:col>
      <xdr:colOff>323849</xdr:colOff>
      <xdr:row>21</xdr:row>
      <xdr:rowOff>0</xdr:rowOff>
    </xdr:to>
    <xdr:sp macro="" textlink="">
      <xdr:nvSpPr>
        <xdr:cNvPr id="21" name="Callout: Line 20">
          <a:extLst>
            <a:ext uri="{FF2B5EF4-FFF2-40B4-BE49-F238E27FC236}">
              <a16:creationId xmlns:a16="http://schemas.microsoft.com/office/drawing/2014/main" id="{B588E2A9-5A03-4ECE-9E83-6F6201F7C61E}"/>
            </a:ext>
          </a:extLst>
        </xdr:cNvPr>
        <xdr:cNvSpPr/>
      </xdr:nvSpPr>
      <xdr:spPr>
        <a:xfrm flipH="1">
          <a:off x="4819649" y="3714751"/>
          <a:ext cx="495300" cy="209549"/>
        </a:xfrm>
        <a:prstGeom prst="borderCallout1">
          <a:avLst>
            <a:gd name="adj1" fmla="val 18750"/>
            <a:gd name="adj2" fmla="val -8333"/>
            <a:gd name="adj3" fmla="val 57125"/>
            <a:gd name="adj4" fmla="val -54951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az-Latn-AZ" sz="1100"/>
            <a:t>n-k-1</a:t>
          </a:r>
          <a:endParaRPr lang="en-US" sz="1100"/>
        </a:p>
      </xdr:txBody>
    </xdr:sp>
    <xdr:clientData/>
  </xdr:twoCellAnchor>
  <xdr:twoCellAnchor>
    <xdr:from>
      <xdr:col>7</xdr:col>
      <xdr:colOff>1085847</xdr:colOff>
      <xdr:row>21</xdr:row>
      <xdr:rowOff>19050</xdr:rowOff>
    </xdr:from>
    <xdr:to>
      <xdr:col>8</xdr:col>
      <xdr:colOff>257175</xdr:colOff>
      <xdr:row>22</xdr:row>
      <xdr:rowOff>66675</xdr:rowOff>
    </xdr:to>
    <xdr:sp macro="" textlink="">
      <xdr:nvSpPr>
        <xdr:cNvPr id="22" name="Callout: Line 21">
          <a:extLst>
            <a:ext uri="{FF2B5EF4-FFF2-40B4-BE49-F238E27FC236}">
              <a16:creationId xmlns:a16="http://schemas.microsoft.com/office/drawing/2014/main" id="{DE37E332-7ABE-462D-99FF-C7CE910600FF}"/>
            </a:ext>
          </a:extLst>
        </xdr:cNvPr>
        <xdr:cNvSpPr/>
      </xdr:nvSpPr>
      <xdr:spPr>
        <a:xfrm flipH="1">
          <a:off x="4876797" y="3943350"/>
          <a:ext cx="371478" cy="247650"/>
        </a:xfrm>
        <a:prstGeom prst="borderCallout1">
          <a:avLst>
            <a:gd name="adj1" fmla="val 18750"/>
            <a:gd name="adj2" fmla="val -8333"/>
            <a:gd name="adj3" fmla="val 33125"/>
            <a:gd name="adj4" fmla="val -93064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az-Latn-AZ" sz="1100"/>
            <a:t>n-1</a:t>
          </a:r>
          <a:endParaRPr lang="en-US" sz="1100"/>
        </a:p>
      </xdr:txBody>
    </xdr:sp>
    <xdr:clientData/>
  </xdr:twoCellAnchor>
  <xdr:twoCellAnchor>
    <xdr:from>
      <xdr:col>7</xdr:col>
      <xdr:colOff>1066799</xdr:colOff>
      <xdr:row>15</xdr:row>
      <xdr:rowOff>38099</xdr:rowOff>
    </xdr:from>
    <xdr:to>
      <xdr:col>8</xdr:col>
      <xdr:colOff>238125</xdr:colOff>
      <xdr:row>16</xdr:row>
      <xdr:rowOff>85724</xdr:rowOff>
    </xdr:to>
    <xdr:sp macro="" textlink="">
      <xdr:nvSpPr>
        <xdr:cNvPr id="23" name="Callout: Line 22">
          <a:extLst>
            <a:ext uri="{FF2B5EF4-FFF2-40B4-BE49-F238E27FC236}">
              <a16:creationId xmlns:a16="http://schemas.microsoft.com/office/drawing/2014/main" id="{6C8E25E2-E76B-4A97-BADC-C816AEF2CB0E}"/>
            </a:ext>
          </a:extLst>
        </xdr:cNvPr>
        <xdr:cNvSpPr/>
      </xdr:nvSpPr>
      <xdr:spPr>
        <a:xfrm flipH="1">
          <a:off x="4857749" y="2819399"/>
          <a:ext cx="371476" cy="257175"/>
        </a:xfrm>
        <a:prstGeom prst="borderCallout1">
          <a:avLst>
            <a:gd name="adj1" fmla="val 18750"/>
            <a:gd name="adj2" fmla="val -8333"/>
            <a:gd name="adj3" fmla="val 33125"/>
            <a:gd name="adj4" fmla="val -93064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az-Latn-AZ" sz="1100"/>
            <a:t>n-1</a:t>
          </a:r>
          <a:endParaRPr lang="en-US" sz="1100"/>
        </a:p>
      </xdr:txBody>
    </xdr:sp>
    <xdr:clientData/>
  </xdr:twoCellAnchor>
  <xdr:twoCellAnchor>
    <xdr:from>
      <xdr:col>13</xdr:col>
      <xdr:colOff>142874</xdr:colOff>
      <xdr:row>18</xdr:row>
      <xdr:rowOff>28575</xdr:rowOff>
    </xdr:from>
    <xdr:to>
      <xdr:col>17</xdr:col>
      <xdr:colOff>19050</xdr:colOff>
      <xdr:row>19</xdr:row>
      <xdr:rowOff>57150</xdr:rowOff>
    </xdr:to>
    <xdr:sp macro="" textlink="">
      <xdr:nvSpPr>
        <xdr:cNvPr id="4097" name="Text Box 1">
          <a:extLst>
            <a:ext uri="{FF2B5EF4-FFF2-40B4-BE49-F238E27FC236}">
              <a16:creationId xmlns:a16="http://schemas.microsoft.com/office/drawing/2014/main" id="{0FE82DEC-807B-4147-8444-E9B1D3A4677D}"/>
            </a:ext>
          </a:extLst>
        </xdr:cNvPr>
        <xdr:cNvSpPr txBox="1">
          <a:spLocks noChangeArrowheads="1"/>
        </xdr:cNvSpPr>
      </xdr:nvSpPr>
      <xdr:spPr bwMode="auto">
        <a:xfrm>
          <a:off x="8877299" y="3381375"/>
          <a:ext cx="2886076" cy="219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=(SSR_General - SSR_Advertising) / MSE_General</a:t>
          </a:r>
        </a:p>
      </xdr:txBody>
    </xdr:sp>
    <xdr:clientData/>
  </xdr:twoCellAnchor>
  <xdr:twoCellAnchor>
    <xdr:from>
      <xdr:col>15</xdr:col>
      <xdr:colOff>38100</xdr:colOff>
      <xdr:row>11</xdr:row>
      <xdr:rowOff>123825</xdr:rowOff>
    </xdr:from>
    <xdr:to>
      <xdr:col>16</xdr:col>
      <xdr:colOff>514350</xdr:colOff>
      <xdr:row>12</xdr:row>
      <xdr:rowOff>142875</xdr:rowOff>
    </xdr:to>
    <xdr:sp macro="" textlink="">
      <xdr:nvSpPr>
        <xdr:cNvPr id="4098" name="Text Box 2">
          <a:extLst>
            <a:ext uri="{FF2B5EF4-FFF2-40B4-BE49-F238E27FC236}">
              <a16:creationId xmlns:a16="http://schemas.microsoft.com/office/drawing/2014/main" id="{43FF25CD-ECE0-4040-9CBC-F099CC747788}"/>
            </a:ext>
          </a:extLst>
        </xdr:cNvPr>
        <xdr:cNvSpPr txBox="1">
          <a:spLocks noChangeArrowheads="1"/>
        </xdr:cNvSpPr>
      </xdr:nvSpPr>
      <xdr:spPr bwMode="auto">
        <a:xfrm>
          <a:off x="10372725" y="2152650"/>
          <a:ext cx="1276350" cy="2286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=F.INV.RT(0.05, 1, 12)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1104900</xdr:colOff>
      <xdr:row>12</xdr:row>
      <xdr:rowOff>114299</xdr:rowOff>
    </xdr:from>
    <xdr:to>
      <xdr:col>8</xdr:col>
      <xdr:colOff>142875</xdr:colOff>
      <xdr:row>13</xdr:row>
      <xdr:rowOff>142875</xdr:rowOff>
    </xdr:to>
    <xdr:sp macro="" textlink="">
      <xdr:nvSpPr>
        <xdr:cNvPr id="2" name="Callout: Line 1">
          <a:extLst>
            <a:ext uri="{FF2B5EF4-FFF2-40B4-BE49-F238E27FC236}">
              <a16:creationId xmlns:a16="http://schemas.microsoft.com/office/drawing/2014/main" id="{BBA308D7-0E61-4D57-B0AE-015E5201900F}"/>
            </a:ext>
          </a:extLst>
        </xdr:cNvPr>
        <xdr:cNvSpPr/>
      </xdr:nvSpPr>
      <xdr:spPr>
        <a:xfrm flipH="1">
          <a:off x="4543425" y="2352674"/>
          <a:ext cx="238125" cy="200026"/>
        </a:xfrm>
        <a:prstGeom prst="borderCallout1">
          <a:avLst>
            <a:gd name="adj1" fmla="val 18750"/>
            <a:gd name="adj2" fmla="val -8333"/>
            <a:gd name="adj3" fmla="val 78125"/>
            <a:gd name="adj4" fmla="val -192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az-Latn-AZ" sz="1100"/>
            <a:t>k</a:t>
          </a:r>
          <a:endParaRPr lang="en-US" sz="1100"/>
        </a:p>
      </xdr:txBody>
    </xdr:sp>
    <xdr:clientData/>
  </xdr:twoCellAnchor>
  <xdr:twoCellAnchor>
    <xdr:from>
      <xdr:col>7</xdr:col>
      <xdr:colOff>1019174</xdr:colOff>
      <xdr:row>13</xdr:row>
      <xdr:rowOff>171451</xdr:rowOff>
    </xdr:from>
    <xdr:to>
      <xdr:col>8</xdr:col>
      <xdr:colOff>314324</xdr:colOff>
      <xdr:row>15</xdr:row>
      <xdr:rowOff>9525</xdr:rowOff>
    </xdr:to>
    <xdr:sp macro="" textlink="">
      <xdr:nvSpPr>
        <xdr:cNvPr id="3" name="Callout: Line 2">
          <a:extLst>
            <a:ext uri="{FF2B5EF4-FFF2-40B4-BE49-F238E27FC236}">
              <a16:creationId xmlns:a16="http://schemas.microsoft.com/office/drawing/2014/main" id="{A9DA7B93-DE97-4E85-92BB-4C26E07FE5B7}"/>
            </a:ext>
          </a:extLst>
        </xdr:cNvPr>
        <xdr:cNvSpPr/>
      </xdr:nvSpPr>
      <xdr:spPr>
        <a:xfrm flipH="1">
          <a:off x="4457699" y="2581276"/>
          <a:ext cx="495300" cy="209549"/>
        </a:xfrm>
        <a:prstGeom prst="borderCallout1">
          <a:avLst>
            <a:gd name="adj1" fmla="val 18750"/>
            <a:gd name="adj2" fmla="val -8333"/>
            <a:gd name="adj3" fmla="val 57125"/>
            <a:gd name="adj4" fmla="val -54951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az-Latn-AZ" sz="1100"/>
            <a:t>n-k-1</a:t>
          </a:r>
          <a:endParaRPr lang="en-US" sz="1100"/>
        </a:p>
      </xdr:txBody>
    </xdr:sp>
    <xdr:clientData/>
  </xdr:twoCellAnchor>
  <xdr:twoCellAnchor>
    <xdr:from>
      <xdr:col>7</xdr:col>
      <xdr:colOff>1133475</xdr:colOff>
      <xdr:row>18</xdr:row>
      <xdr:rowOff>142874</xdr:rowOff>
    </xdr:from>
    <xdr:to>
      <xdr:col>8</xdr:col>
      <xdr:colOff>171450</xdr:colOff>
      <xdr:row>19</xdr:row>
      <xdr:rowOff>152400</xdr:rowOff>
    </xdr:to>
    <xdr:sp macro="" textlink="">
      <xdr:nvSpPr>
        <xdr:cNvPr id="4" name="Callout: Line 3">
          <a:extLst>
            <a:ext uri="{FF2B5EF4-FFF2-40B4-BE49-F238E27FC236}">
              <a16:creationId xmlns:a16="http://schemas.microsoft.com/office/drawing/2014/main" id="{101F3BE6-CDF9-4FD9-A2C1-19582B9F9217}"/>
            </a:ext>
          </a:extLst>
        </xdr:cNvPr>
        <xdr:cNvSpPr/>
      </xdr:nvSpPr>
      <xdr:spPr>
        <a:xfrm flipH="1">
          <a:off x="4572000" y="3495674"/>
          <a:ext cx="238125" cy="200026"/>
        </a:xfrm>
        <a:prstGeom prst="borderCallout1">
          <a:avLst>
            <a:gd name="adj1" fmla="val 18750"/>
            <a:gd name="adj2" fmla="val -8333"/>
            <a:gd name="adj3" fmla="val 78125"/>
            <a:gd name="adj4" fmla="val -192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az-Latn-AZ" sz="1100"/>
            <a:t>k</a:t>
          </a:r>
          <a:endParaRPr lang="en-US" sz="1100"/>
        </a:p>
      </xdr:txBody>
    </xdr:sp>
    <xdr:clientData/>
  </xdr:twoCellAnchor>
  <xdr:twoCellAnchor>
    <xdr:from>
      <xdr:col>7</xdr:col>
      <xdr:colOff>1019174</xdr:colOff>
      <xdr:row>19</xdr:row>
      <xdr:rowOff>171451</xdr:rowOff>
    </xdr:from>
    <xdr:to>
      <xdr:col>8</xdr:col>
      <xdr:colOff>314324</xdr:colOff>
      <xdr:row>21</xdr:row>
      <xdr:rowOff>0</xdr:rowOff>
    </xdr:to>
    <xdr:sp macro="" textlink="">
      <xdr:nvSpPr>
        <xdr:cNvPr id="5" name="Callout: Line 4">
          <a:extLst>
            <a:ext uri="{FF2B5EF4-FFF2-40B4-BE49-F238E27FC236}">
              <a16:creationId xmlns:a16="http://schemas.microsoft.com/office/drawing/2014/main" id="{FF269B2F-FEAA-46D6-9F5C-66CA6A3A4982}"/>
            </a:ext>
          </a:extLst>
        </xdr:cNvPr>
        <xdr:cNvSpPr/>
      </xdr:nvSpPr>
      <xdr:spPr>
        <a:xfrm flipH="1">
          <a:off x="4457699" y="3714751"/>
          <a:ext cx="495300" cy="209549"/>
        </a:xfrm>
        <a:prstGeom prst="borderCallout1">
          <a:avLst>
            <a:gd name="adj1" fmla="val 18750"/>
            <a:gd name="adj2" fmla="val -8333"/>
            <a:gd name="adj3" fmla="val 57125"/>
            <a:gd name="adj4" fmla="val -54951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az-Latn-AZ" sz="1100"/>
            <a:t>n-k-1</a:t>
          </a:r>
          <a:endParaRPr lang="en-US" sz="1100"/>
        </a:p>
      </xdr:txBody>
    </xdr:sp>
    <xdr:clientData/>
  </xdr:twoCellAnchor>
  <xdr:twoCellAnchor>
    <xdr:from>
      <xdr:col>7</xdr:col>
      <xdr:colOff>1076322</xdr:colOff>
      <xdr:row>21</xdr:row>
      <xdr:rowOff>19050</xdr:rowOff>
    </xdr:from>
    <xdr:to>
      <xdr:col>8</xdr:col>
      <xdr:colOff>247650</xdr:colOff>
      <xdr:row>22</xdr:row>
      <xdr:rowOff>66675</xdr:rowOff>
    </xdr:to>
    <xdr:sp macro="" textlink="">
      <xdr:nvSpPr>
        <xdr:cNvPr id="6" name="Callout: Line 5">
          <a:extLst>
            <a:ext uri="{FF2B5EF4-FFF2-40B4-BE49-F238E27FC236}">
              <a16:creationId xmlns:a16="http://schemas.microsoft.com/office/drawing/2014/main" id="{DE961C3D-0DD9-439C-9CB4-6D2179921EEF}"/>
            </a:ext>
          </a:extLst>
        </xdr:cNvPr>
        <xdr:cNvSpPr/>
      </xdr:nvSpPr>
      <xdr:spPr>
        <a:xfrm flipH="1">
          <a:off x="4514847" y="3943350"/>
          <a:ext cx="371478" cy="247650"/>
        </a:xfrm>
        <a:prstGeom prst="borderCallout1">
          <a:avLst>
            <a:gd name="adj1" fmla="val 18750"/>
            <a:gd name="adj2" fmla="val -8333"/>
            <a:gd name="adj3" fmla="val 33125"/>
            <a:gd name="adj4" fmla="val -93064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az-Latn-AZ" sz="1100"/>
            <a:t>n-1</a:t>
          </a:r>
          <a:endParaRPr lang="en-US" sz="1100"/>
        </a:p>
      </xdr:txBody>
    </xdr:sp>
    <xdr:clientData/>
  </xdr:twoCellAnchor>
  <xdr:twoCellAnchor>
    <xdr:from>
      <xdr:col>7</xdr:col>
      <xdr:colOff>1066799</xdr:colOff>
      <xdr:row>15</xdr:row>
      <xdr:rowOff>38099</xdr:rowOff>
    </xdr:from>
    <xdr:to>
      <xdr:col>8</xdr:col>
      <xdr:colOff>238125</xdr:colOff>
      <xdr:row>16</xdr:row>
      <xdr:rowOff>85724</xdr:rowOff>
    </xdr:to>
    <xdr:sp macro="" textlink="">
      <xdr:nvSpPr>
        <xdr:cNvPr id="7" name="Callout: Line 6">
          <a:extLst>
            <a:ext uri="{FF2B5EF4-FFF2-40B4-BE49-F238E27FC236}">
              <a16:creationId xmlns:a16="http://schemas.microsoft.com/office/drawing/2014/main" id="{BE708C36-983F-4063-A924-5A5B285434A5}"/>
            </a:ext>
          </a:extLst>
        </xdr:cNvPr>
        <xdr:cNvSpPr/>
      </xdr:nvSpPr>
      <xdr:spPr>
        <a:xfrm flipH="1">
          <a:off x="4505324" y="2819399"/>
          <a:ext cx="371476" cy="257175"/>
        </a:xfrm>
        <a:prstGeom prst="borderCallout1">
          <a:avLst>
            <a:gd name="adj1" fmla="val 18750"/>
            <a:gd name="adj2" fmla="val -8333"/>
            <a:gd name="adj3" fmla="val 33125"/>
            <a:gd name="adj4" fmla="val -93064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az-Latn-AZ" sz="1100"/>
            <a:t>n-1</a:t>
          </a:r>
          <a:endParaRPr lang="en-US" sz="1100"/>
        </a:p>
      </xdr:txBody>
    </xdr:sp>
    <xdr:clientData/>
  </xdr:twoCellAnchor>
  <xdr:twoCellAnchor>
    <xdr:from>
      <xdr:col>13</xdr:col>
      <xdr:colOff>142874</xdr:colOff>
      <xdr:row>18</xdr:row>
      <xdr:rowOff>28575</xdr:rowOff>
    </xdr:from>
    <xdr:to>
      <xdr:col>17</xdr:col>
      <xdr:colOff>19050</xdr:colOff>
      <xdr:row>19</xdr:row>
      <xdr:rowOff>57150</xdr:rowOff>
    </xdr:to>
    <xdr:sp macro="" textlink="">
      <xdr:nvSpPr>
        <xdr:cNvPr id="9" name="Text Box 1">
          <a:extLst>
            <a:ext uri="{FF2B5EF4-FFF2-40B4-BE49-F238E27FC236}">
              <a16:creationId xmlns:a16="http://schemas.microsoft.com/office/drawing/2014/main" id="{E44E92B9-6D1D-476D-A33B-F557F5BB1390}"/>
            </a:ext>
          </a:extLst>
        </xdr:cNvPr>
        <xdr:cNvSpPr txBox="1">
          <a:spLocks noChangeArrowheads="1"/>
        </xdr:cNvSpPr>
      </xdr:nvSpPr>
      <xdr:spPr bwMode="auto">
        <a:xfrm>
          <a:off x="8877299" y="3381375"/>
          <a:ext cx="2886076" cy="219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=(SSR_General - SSR_Price) / MSE_General</a:t>
          </a:r>
        </a:p>
      </xdr:txBody>
    </xdr:sp>
    <xdr:clientData/>
  </xdr:twoCellAnchor>
  <xdr:twoCellAnchor>
    <xdr:from>
      <xdr:col>15</xdr:col>
      <xdr:colOff>38100</xdr:colOff>
      <xdr:row>11</xdr:row>
      <xdr:rowOff>123825</xdr:rowOff>
    </xdr:from>
    <xdr:to>
      <xdr:col>16</xdr:col>
      <xdr:colOff>514350</xdr:colOff>
      <xdr:row>12</xdr:row>
      <xdr:rowOff>142875</xdr:rowOff>
    </xdr:to>
    <xdr:sp macro="" textlink="">
      <xdr:nvSpPr>
        <xdr:cNvPr id="10" name="Text Box 2">
          <a:extLst>
            <a:ext uri="{FF2B5EF4-FFF2-40B4-BE49-F238E27FC236}">
              <a16:creationId xmlns:a16="http://schemas.microsoft.com/office/drawing/2014/main" id="{4A385BD4-E8BD-4C1F-A86A-3ACB60368B18}"/>
            </a:ext>
          </a:extLst>
        </xdr:cNvPr>
        <xdr:cNvSpPr txBox="1">
          <a:spLocks noChangeArrowheads="1"/>
        </xdr:cNvSpPr>
      </xdr:nvSpPr>
      <xdr:spPr bwMode="auto">
        <a:xfrm>
          <a:off x="10372725" y="2152650"/>
          <a:ext cx="1276350" cy="2286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=F.INV.RT(0.05, 1, 12)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1104900</xdr:colOff>
      <xdr:row>12</xdr:row>
      <xdr:rowOff>104774</xdr:rowOff>
    </xdr:from>
    <xdr:to>
      <xdr:col>8</xdr:col>
      <xdr:colOff>142875</xdr:colOff>
      <xdr:row>13</xdr:row>
      <xdr:rowOff>133350</xdr:rowOff>
    </xdr:to>
    <xdr:sp macro="" textlink="">
      <xdr:nvSpPr>
        <xdr:cNvPr id="5" name="Callout: Line 4">
          <a:extLst>
            <a:ext uri="{FF2B5EF4-FFF2-40B4-BE49-F238E27FC236}">
              <a16:creationId xmlns:a16="http://schemas.microsoft.com/office/drawing/2014/main" id="{8541BF48-9493-4A8E-9742-3E0ECE858EF2}"/>
            </a:ext>
          </a:extLst>
        </xdr:cNvPr>
        <xdr:cNvSpPr/>
      </xdr:nvSpPr>
      <xdr:spPr>
        <a:xfrm flipH="1">
          <a:off x="5838825" y="2495549"/>
          <a:ext cx="247650" cy="228601"/>
        </a:xfrm>
        <a:prstGeom prst="borderCallout1">
          <a:avLst>
            <a:gd name="adj1" fmla="val 18750"/>
            <a:gd name="adj2" fmla="val -8333"/>
            <a:gd name="adj3" fmla="val 78125"/>
            <a:gd name="adj4" fmla="val -192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az-Latn-AZ" sz="1100"/>
            <a:t>k</a:t>
          </a:r>
          <a:endParaRPr lang="en-US" sz="1100"/>
        </a:p>
      </xdr:txBody>
    </xdr:sp>
    <xdr:clientData/>
  </xdr:twoCellAnchor>
  <xdr:twoCellAnchor>
    <xdr:from>
      <xdr:col>7</xdr:col>
      <xdr:colOff>1019174</xdr:colOff>
      <xdr:row>13</xdr:row>
      <xdr:rowOff>161926</xdr:rowOff>
    </xdr:from>
    <xdr:to>
      <xdr:col>8</xdr:col>
      <xdr:colOff>314324</xdr:colOff>
      <xdr:row>15</xdr:row>
      <xdr:rowOff>0</xdr:rowOff>
    </xdr:to>
    <xdr:sp macro="" textlink="">
      <xdr:nvSpPr>
        <xdr:cNvPr id="6" name="Callout: Line 5">
          <a:extLst>
            <a:ext uri="{FF2B5EF4-FFF2-40B4-BE49-F238E27FC236}">
              <a16:creationId xmlns:a16="http://schemas.microsoft.com/office/drawing/2014/main" id="{5245304B-8D2F-4F0E-9BA4-EBE0332913E6}"/>
            </a:ext>
          </a:extLst>
        </xdr:cNvPr>
        <xdr:cNvSpPr/>
      </xdr:nvSpPr>
      <xdr:spPr>
        <a:xfrm flipH="1">
          <a:off x="5753099" y="2752726"/>
          <a:ext cx="504825" cy="238124"/>
        </a:xfrm>
        <a:prstGeom prst="borderCallout1">
          <a:avLst>
            <a:gd name="adj1" fmla="val 18750"/>
            <a:gd name="adj2" fmla="val -8333"/>
            <a:gd name="adj3" fmla="val 57125"/>
            <a:gd name="adj4" fmla="val -54951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az-Latn-AZ" sz="1100"/>
            <a:t>n-k-1</a:t>
          </a:r>
          <a:endParaRPr lang="en-US" sz="1100"/>
        </a:p>
      </xdr:txBody>
    </xdr:sp>
    <xdr:clientData/>
  </xdr:twoCellAnchor>
  <xdr:twoCellAnchor>
    <xdr:from>
      <xdr:col>7</xdr:col>
      <xdr:colOff>1076322</xdr:colOff>
      <xdr:row>15</xdr:row>
      <xdr:rowOff>19050</xdr:rowOff>
    </xdr:from>
    <xdr:to>
      <xdr:col>8</xdr:col>
      <xdr:colOff>238124</xdr:colOff>
      <xdr:row>16</xdr:row>
      <xdr:rowOff>57149</xdr:rowOff>
    </xdr:to>
    <xdr:sp macro="" textlink="">
      <xdr:nvSpPr>
        <xdr:cNvPr id="7" name="Callout: Line 6">
          <a:extLst>
            <a:ext uri="{FF2B5EF4-FFF2-40B4-BE49-F238E27FC236}">
              <a16:creationId xmlns:a16="http://schemas.microsoft.com/office/drawing/2014/main" id="{53D9D145-51E8-4FE8-A6C7-33A8FE1AEC05}"/>
            </a:ext>
          </a:extLst>
        </xdr:cNvPr>
        <xdr:cNvSpPr/>
      </xdr:nvSpPr>
      <xdr:spPr>
        <a:xfrm flipH="1">
          <a:off x="5810247" y="3009900"/>
          <a:ext cx="371477" cy="247649"/>
        </a:xfrm>
        <a:prstGeom prst="borderCallout1">
          <a:avLst>
            <a:gd name="adj1" fmla="val 18750"/>
            <a:gd name="adj2" fmla="val -8333"/>
            <a:gd name="adj3" fmla="val 33125"/>
            <a:gd name="adj4" fmla="val -93064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az-Latn-AZ" sz="1100"/>
            <a:t>n-1</a:t>
          </a:r>
          <a:endParaRPr 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123824</xdr:colOff>
      <xdr:row>0</xdr:row>
      <xdr:rowOff>0</xdr:rowOff>
    </xdr:from>
    <xdr:to>
      <xdr:col>6</xdr:col>
      <xdr:colOff>304799</xdr:colOff>
      <xdr:row>10</xdr:row>
      <xdr:rowOff>104774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19A173-DC85-4E53-AC5A-07CCD69389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180974</xdr:colOff>
      <xdr:row>10</xdr:row>
      <xdr:rowOff>171450</xdr:rowOff>
    </xdr:from>
    <xdr:to>
      <xdr:col>6</xdr:col>
      <xdr:colOff>323849</xdr:colOff>
      <xdr:row>22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441EBCA-FAA0-49D9-B24C-08CB87E8D4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409575</xdr:colOff>
      <xdr:row>0</xdr:row>
      <xdr:rowOff>9525</xdr:rowOff>
    </xdr:from>
    <xdr:to>
      <xdr:col>19</xdr:col>
      <xdr:colOff>523875</xdr:colOff>
      <xdr:row>10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A60F413-7021-4D97-BAB9-47C4E8850E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28574</xdr:colOff>
      <xdr:row>0</xdr:row>
      <xdr:rowOff>0</xdr:rowOff>
    </xdr:from>
    <xdr:to>
      <xdr:col>13</xdr:col>
      <xdr:colOff>228599</xdr:colOff>
      <xdr:row>10</xdr:row>
      <xdr:rowOff>142875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6194BB4-E56D-4D09-989E-44897CA352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38100</xdr:colOff>
      <xdr:row>11</xdr:row>
      <xdr:rowOff>47625</xdr:rowOff>
    </xdr:from>
    <xdr:to>
      <xdr:col>15</xdr:col>
      <xdr:colOff>447676</xdr:colOff>
      <xdr:row>21</xdr:row>
      <xdr:rowOff>180975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D45F5DB-9CDC-45EA-9136-EDA9C8131B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23EAC-E488-491C-AF4B-612AC0B8CAE2}">
  <dimension ref="C1:P21"/>
  <sheetViews>
    <sheetView workbookViewId="0">
      <selection activeCell="L33" sqref="L33"/>
    </sheetView>
  </sheetViews>
  <sheetFormatPr defaultRowHeight="15" x14ac:dyDescent="0.25"/>
  <cols>
    <col min="3" max="3" width="6.28515625" style="1" bestFit="1" customWidth="1"/>
    <col min="4" max="4" width="9.28515625" style="1" bestFit="1" customWidth="1"/>
    <col min="5" max="5" width="8.7109375" style="1" bestFit="1" customWidth="1"/>
    <col min="6" max="6" width="19.28515625" style="1" bestFit="1" customWidth="1"/>
    <col min="7" max="7" width="9.140625" style="1"/>
    <col min="8" max="8" width="18.140625" bestFit="1" customWidth="1"/>
    <col min="9" max="16" width="12" customWidth="1"/>
    <col min="17" max="17" width="9.140625" customWidth="1"/>
  </cols>
  <sheetData>
    <row r="1" spans="3:15" ht="19.5" thickBot="1" x14ac:dyDescent="0.35">
      <c r="I1" s="14" t="s">
        <v>30</v>
      </c>
      <c r="J1" s="15"/>
      <c r="K1" s="15"/>
      <c r="L1" s="15"/>
      <c r="M1" s="16"/>
    </row>
    <row r="2" spans="3:15" s="27" customFormat="1" ht="14.25" customHeight="1" thickBot="1" x14ac:dyDescent="0.3">
      <c r="C2" s="3" t="s">
        <v>0</v>
      </c>
      <c r="D2" s="4" t="s">
        <v>1</v>
      </c>
      <c r="E2" s="4" t="s">
        <v>2</v>
      </c>
      <c r="F2" s="5" t="s">
        <v>3</v>
      </c>
      <c r="G2" s="1"/>
    </row>
    <row r="3" spans="3:15" ht="16.5" thickBot="1" x14ac:dyDescent="0.3">
      <c r="C3" s="6">
        <v>1</v>
      </c>
      <c r="D3" s="7">
        <v>350</v>
      </c>
      <c r="E3" s="7">
        <v>5.5</v>
      </c>
      <c r="F3" s="8">
        <v>3.3</v>
      </c>
      <c r="H3" t="s">
        <v>4</v>
      </c>
      <c r="K3" s="21" t="s">
        <v>28</v>
      </c>
      <c r="L3" s="22" t="s">
        <v>29</v>
      </c>
      <c r="M3" s="23"/>
      <c r="N3" s="23"/>
      <c r="O3" s="24"/>
    </row>
    <row r="4" spans="3:15" s="27" customFormat="1" ht="14.25" customHeight="1" thickBot="1" x14ac:dyDescent="0.3">
      <c r="C4" s="9">
        <v>2</v>
      </c>
      <c r="D4" s="2">
        <v>460</v>
      </c>
      <c r="E4" s="2">
        <v>7.5</v>
      </c>
      <c r="F4" s="10">
        <v>3.3</v>
      </c>
      <c r="G4" s="1"/>
    </row>
    <row r="5" spans="3:15" ht="15.75" x14ac:dyDescent="0.25">
      <c r="C5" s="9">
        <v>3</v>
      </c>
      <c r="D5" s="2">
        <v>350</v>
      </c>
      <c r="E5" s="2">
        <v>8</v>
      </c>
      <c r="F5" s="10">
        <v>3</v>
      </c>
      <c r="H5" s="20" t="s">
        <v>5</v>
      </c>
      <c r="I5" s="20"/>
    </row>
    <row r="6" spans="3:15" ht="15.75" x14ac:dyDescent="0.25">
      <c r="C6" s="9">
        <v>4</v>
      </c>
      <c r="D6" s="2">
        <v>430</v>
      </c>
      <c r="E6" s="2">
        <v>8</v>
      </c>
      <c r="F6" s="10">
        <v>4.5</v>
      </c>
      <c r="H6" s="17" t="s">
        <v>6</v>
      </c>
      <c r="I6" s="17">
        <v>0.722134292240182</v>
      </c>
    </row>
    <row r="7" spans="3:15" ht="15.75" x14ac:dyDescent="0.25">
      <c r="C7" s="9">
        <v>5</v>
      </c>
      <c r="D7" s="2">
        <v>350</v>
      </c>
      <c r="E7" s="2">
        <v>6.8</v>
      </c>
      <c r="F7" s="10">
        <v>3</v>
      </c>
      <c r="H7" s="17" t="s">
        <v>7</v>
      </c>
      <c r="I7" s="17">
        <v>0.52147793602922865</v>
      </c>
      <c r="J7" s="25">
        <f>SSR/SST</f>
        <v>0.52147793602922865</v>
      </c>
    </row>
    <row r="8" spans="3:15" ht="15.75" x14ac:dyDescent="0.25">
      <c r="C8" s="9">
        <v>6</v>
      </c>
      <c r="D8" s="2">
        <v>380</v>
      </c>
      <c r="E8" s="2">
        <v>7.5</v>
      </c>
      <c r="F8" s="10">
        <v>4</v>
      </c>
      <c r="H8" s="17" t="s">
        <v>8</v>
      </c>
      <c r="I8" s="17">
        <v>0.44172425870076676</v>
      </c>
      <c r="J8" s="26">
        <f>1 - (SSE/I15) / (SST / I16)</f>
        <v>0.44172425870076681</v>
      </c>
    </row>
    <row r="9" spans="3:15" ht="15.75" x14ac:dyDescent="0.25">
      <c r="C9" s="9">
        <v>7</v>
      </c>
      <c r="D9" s="2">
        <v>430</v>
      </c>
      <c r="E9" s="2">
        <v>4.5</v>
      </c>
      <c r="F9" s="10">
        <v>3</v>
      </c>
      <c r="H9" s="17" t="s">
        <v>9</v>
      </c>
      <c r="I9" s="17">
        <v>47.463412634764822</v>
      </c>
      <c r="K9" s="26">
        <f>1-(( 1-R_Square ) * I16 / I15)</f>
        <v>0.4417242587007667</v>
      </c>
    </row>
    <row r="10" spans="3:15" ht="16.5" thickBot="1" x14ac:dyDescent="0.3">
      <c r="C10" s="9">
        <v>8</v>
      </c>
      <c r="D10" s="2">
        <v>470</v>
      </c>
      <c r="E10" s="2">
        <v>6.4</v>
      </c>
      <c r="F10" s="10">
        <v>3.7</v>
      </c>
      <c r="H10" s="18" t="s">
        <v>10</v>
      </c>
      <c r="I10" s="18">
        <v>15</v>
      </c>
    </row>
    <row r="11" spans="3:15" s="1" customFormat="1" ht="12.75" customHeight="1" x14ac:dyDescent="0.25">
      <c r="C11" s="9">
        <v>9</v>
      </c>
      <c r="D11" s="2">
        <v>450</v>
      </c>
      <c r="E11" s="2">
        <v>7</v>
      </c>
      <c r="F11" s="10">
        <v>3.5</v>
      </c>
    </row>
    <row r="12" spans="3:15" ht="16.5" thickBot="1" x14ac:dyDescent="0.3">
      <c r="C12" s="9">
        <v>10</v>
      </c>
      <c r="D12" s="2">
        <v>490</v>
      </c>
      <c r="E12" s="2">
        <v>5</v>
      </c>
      <c r="F12" s="10">
        <v>4</v>
      </c>
      <c r="H12" t="s">
        <v>11</v>
      </c>
    </row>
    <row r="13" spans="3:15" ht="15.75" x14ac:dyDescent="0.25">
      <c r="C13" s="9">
        <v>11</v>
      </c>
      <c r="D13" s="2">
        <v>340</v>
      </c>
      <c r="E13" s="2">
        <v>7.2</v>
      </c>
      <c r="F13" s="10">
        <v>3.5</v>
      </c>
      <c r="H13" s="19"/>
      <c r="I13" s="19" t="s">
        <v>16</v>
      </c>
      <c r="J13" s="19" t="s">
        <v>17</v>
      </c>
      <c r="K13" s="19" t="s">
        <v>18</v>
      </c>
      <c r="L13" s="19" t="s">
        <v>19</v>
      </c>
      <c r="M13" s="19" t="s">
        <v>20</v>
      </c>
    </row>
    <row r="14" spans="3:15" ht="15.75" x14ac:dyDescent="0.25">
      <c r="C14" s="9">
        <v>12</v>
      </c>
      <c r="D14" s="2">
        <v>300</v>
      </c>
      <c r="E14" s="2">
        <v>7.9</v>
      </c>
      <c r="F14" s="10">
        <v>3.2</v>
      </c>
      <c r="H14" s="17" t="s">
        <v>12</v>
      </c>
      <c r="I14" s="17">
        <v>2</v>
      </c>
      <c r="J14" s="17">
        <v>29460.026866077889</v>
      </c>
      <c r="K14" s="17">
        <v>14730.013433038945</v>
      </c>
      <c r="L14" s="17">
        <v>6.5386067890204682</v>
      </c>
      <c r="M14" s="17">
        <v>1.2006372233186397E-2</v>
      </c>
    </row>
    <row r="15" spans="3:15" ht="15.75" x14ac:dyDescent="0.25">
      <c r="C15" s="9">
        <v>13</v>
      </c>
      <c r="D15" s="2">
        <v>440</v>
      </c>
      <c r="E15" s="2">
        <v>5.9</v>
      </c>
      <c r="F15" s="10">
        <v>4</v>
      </c>
      <c r="H15" s="17" t="s">
        <v>13</v>
      </c>
      <c r="I15" s="17">
        <v>12</v>
      </c>
      <c r="J15" s="17">
        <v>27033.306467255439</v>
      </c>
      <c r="K15" s="17">
        <v>2252.7755389379531</v>
      </c>
      <c r="L15" s="17"/>
      <c r="M15" s="17"/>
    </row>
    <row r="16" spans="3:15" ht="16.5" thickBot="1" x14ac:dyDescent="0.3">
      <c r="C16" s="9">
        <v>14</v>
      </c>
      <c r="D16" s="2">
        <v>450</v>
      </c>
      <c r="E16" s="2">
        <v>5</v>
      </c>
      <c r="F16" s="10">
        <v>3.5</v>
      </c>
      <c r="H16" s="18" t="s">
        <v>14</v>
      </c>
      <c r="I16" s="18">
        <v>14</v>
      </c>
      <c r="J16" s="18">
        <v>56493.333333333328</v>
      </c>
      <c r="K16" s="18"/>
      <c r="L16" s="18"/>
      <c r="M16" s="18"/>
    </row>
    <row r="17" spans="3:16" ht="16.5" thickBot="1" x14ac:dyDescent="0.3">
      <c r="C17" s="11">
        <v>15</v>
      </c>
      <c r="D17" s="12">
        <v>300</v>
      </c>
      <c r="E17" s="12">
        <v>7</v>
      </c>
      <c r="F17" s="13">
        <v>2.7</v>
      </c>
    </row>
    <row r="18" spans="3:16" x14ac:dyDescent="0.25">
      <c r="H18" s="19"/>
      <c r="I18" s="19" t="s">
        <v>21</v>
      </c>
      <c r="J18" s="19" t="s">
        <v>9</v>
      </c>
      <c r="K18" s="19" t="s">
        <v>22</v>
      </c>
      <c r="L18" s="19" t="s">
        <v>23</v>
      </c>
      <c r="M18" s="19" t="s">
        <v>24</v>
      </c>
      <c r="N18" s="19" t="s">
        <v>25</v>
      </c>
      <c r="O18" s="19" t="s">
        <v>26</v>
      </c>
      <c r="P18" s="19" t="s">
        <v>27</v>
      </c>
    </row>
    <row r="19" spans="3:16" x14ac:dyDescent="0.25">
      <c r="H19" s="17" t="s">
        <v>15</v>
      </c>
      <c r="I19" s="17">
        <v>306.52619328374368</v>
      </c>
      <c r="J19" s="17">
        <v>114.25389351049147</v>
      </c>
      <c r="K19" s="17">
        <v>2.6828511822714964</v>
      </c>
      <c r="L19" s="17">
        <v>1.9931590985369695E-2</v>
      </c>
      <c r="M19" s="17">
        <v>57.588344263651578</v>
      </c>
      <c r="N19" s="17">
        <v>555.46404230383575</v>
      </c>
      <c r="O19" s="17">
        <v>57.588344263651578</v>
      </c>
      <c r="P19" s="17">
        <v>555.46404230383575</v>
      </c>
    </row>
    <row r="20" spans="3:16" x14ac:dyDescent="0.25">
      <c r="H20" s="17" t="s">
        <v>2</v>
      </c>
      <c r="I20" s="17">
        <v>-24.975089517826945</v>
      </c>
      <c r="J20" s="17">
        <v>10.832125119411648</v>
      </c>
      <c r="K20" s="17">
        <v>-2.3056500218106306</v>
      </c>
      <c r="L20" s="17">
        <v>3.9788461178665177E-2</v>
      </c>
      <c r="M20" s="17">
        <v>-48.576262700561699</v>
      </c>
      <c r="N20" s="17">
        <v>-1.3739163350921864</v>
      </c>
      <c r="O20" s="17">
        <v>-48.576262700561699</v>
      </c>
      <c r="P20" s="17">
        <v>-1.3739163350921864</v>
      </c>
    </row>
    <row r="21" spans="3:16" ht="15.75" thickBot="1" x14ac:dyDescent="0.3">
      <c r="H21" s="18" t="s">
        <v>3</v>
      </c>
      <c r="I21" s="18">
        <v>74.130957488740961</v>
      </c>
      <c r="J21" s="18">
        <v>25.967317917939091</v>
      </c>
      <c r="K21" s="18">
        <v>2.854779139031868</v>
      </c>
      <c r="L21" s="18">
        <v>1.449362679645921E-2</v>
      </c>
      <c r="M21" s="18">
        <v>17.553032057087563</v>
      </c>
      <c r="N21" s="18">
        <v>130.70888292039436</v>
      </c>
      <c r="O21" s="18">
        <v>17.553032057087563</v>
      </c>
      <c r="P21" s="18">
        <v>130.70888292039436</v>
      </c>
    </row>
  </sheetData>
  <mergeCells count="2">
    <mergeCell ref="I1:M1"/>
    <mergeCell ref="L3:O3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CC5F1-DEAC-4250-9F76-951020768EE2}">
  <dimension ref="C1:Q22"/>
  <sheetViews>
    <sheetView workbookViewId="0">
      <selection activeCell="K15" sqref="K15"/>
    </sheetView>
  </sheetViews>
  <sheetFormatPr defaultRowHeight="15" x14ac:dyDescent="0.25"/>
  <cols>
    <col min="1" max="1" width="4.28515625" customWidth="1"/>
    <col min="2" max="2" width="5.140625" customWidth="1"/>
    <col min="3" max="3" width="6.28515625" style="1" bestFit="1" customWidth="1"/>
    <col min="4" max="4" width="9.28515625" style="1" bestFit="1" customWidth="1"/>
    <col min="5" max="5" width="8.7109375" style="1" bestFit="1" customWidth="1"/>
    <col min="6" max="6" width="19.28515625" style="1" bestFit="1" customWidth="1"/>
    <col min="7" max="7" width="5.28515625" style="1" customWidth="1"/>
    <col min="8" max="8" width="18.140625" bestFit="1" customWidth="1"/>
    <col min="9" max="9" width="12" customWidth="1"/>
    <col min="10" max="10" width="13.7109375" customWidth="1"/>
    <col min="11" max="16" width="12" customWidth="1"/>
    <col min="17" max="17" width="7.28515625" customWidth="1"/>
  </cols>
  <sheetData>
    <row r="1" spans="3:17" ht="17.25" customHeight="1" thickBot="1" x14ac:dyDescent="0.35">
      <c r="H1" s="14" t="s">
        <v>34</v>
      </c>
      <c r="I1" s="15"/>
      <c r="J1" s="15"/>
      <c r="K1" s="15"/>
      <c r="L1" s="16"/>
    </row>
    <row r="2" spans="3:17" s="27" customFormat="1" ht="14.25" customHeight="1" thickBot="1" x14ac:dyDescent="0.3">
      <c r="C2" s="3" t="s">
        <v>0</v>
      </c>
      <c r="D2" s="4" t="s">
        <v>1</v>
      </c>
      <c r="E2" s="4" t="s">
        <v>2</v>
      </c>
      <c r="F2" s="5" t="s">
        <v>3</v>
      </c>
      <c r="G2" s="1"/>
    </row>
    <row r="3" spans="3:17" ht="13.5" customHeight="1" thickBot="1" x14ac:dyDescent="0.3">
      <c r="C3" s="6">
        <v>1</v>
      </c>
      <c r="D3" s="7">
        <v>350</v>
      </c>
      <c r="E3" s="7">
        <v>5.5</v>
      </c>
      <c r="F3" s="8">
        <v>3.3</v>
      </c>
      <c r="H3" t="s">
        <v>4</v>
      </c>
      <c r="K3" s="21" t="s">
        <v>28</v>
      </c>
      <c r="L3" s="22" t="s">
        <v>29</v>
      </c>
      <c r="M3" s="23"/>
      <c r="N3" s="23"/>
      <c r="O3" s="24"/>
    </row>
    <row r="4" spans="3:17" s="27" customFormat="1" ht="13.5" customHeight="1" thickBot="1" x14ac:dyDescent="0.3">
      <c r="C4" s="9">
        <v>2</v>
      </c>
      <c r="D4" s="2">
        <v>460</v>
      </c>
      <c r="E4" s="2">
        <v>7.5</v>
      </c>
      <c r="F4" s="10">
        <v>3.3</v>
      </c>
      <c r="G4" s="1"/>
    </row>
    <row r="5" spans="3:17" ht="13.5" customHeight="1" x14ac:dyDescent="0.25">
      <c r="C5" s="9">
        <v>3</v>
      </c>
      <c r="D5" s="2">
        <v>350</v>
      </c>
      <c r="E5" s="2">
        <v>8</v>
      </c>
      <c r="F5" s="10">
        <v>3</v>
      </c>
      <c r="H5" s="20" t="s">
        <v>5</v>
      </c>
      <c r="I5" s="20"/>
    </row>
    <row r="6" spans="3:17" ht="15.75" x14ac:dyDescent="0.25">
      <c r="C6" s="9">
        <v>4</v>
      </c>
      <c r="D6" s="2">
        <v>430</v>
      </c>
      <c r="E6" s="2">
        <v>8</v>
      </c>
      <c r="F6" s="10">
        <v>4.5</v>
      </c>
      <c r="H6" s="17" t="s">
        <v>6</v>
      </c>
      <c r="I6" s="17">
        <v>0.722134292240182</v>
      </c>
    </row>
    <row r="7" spans="3:17" ht="15.75" x14ac:dyDescent="0.25">
      <c r="C7" s="9">
        <v>5</v>
      </c>
      <c r="D7" s="2">
        <v>350</v>
      </c>
      <c r="E7" s="2">
        <v>6.8</v>
      </c>
      <c r="F7" s="10">
        <v>3</v>
      </c>
      <c r="H7" s="17" t="s">
        <v>7</v>
      </c>
      <c r="I7" s="17">
        <v>0.52147793602922865</v>
      </c>
    </row>
    <row r="8" spans="3:17" ht="15.75" x14ac:dyDescent="0.25">
      <c r="C8" s="9">
        <v>6</v>
      </c>
      <c r="D8" s="2">
        <v>380</v>
      </c>
      <c r="E8" s="2">
        <v>7.5</v>
      </c>
      <c r="F8" s="10">
        <v>4</v>
      </c>
      <c r="H8" s="17" t="s">
        <v>8</v>
      </c>
      <c r="I8" s="17">
        <v>0.44172425870076676</v>
      </c>
      <c r="L8" s="28" t="s">
        <v>31</v>
      </c>
      <c r="M8" s="28">
        <v>0.05</v>
      </c>
    </row>
    <row r="9" spans="3:17" ht="15.75" x14ac:dyDescent="0.25">
      <c r="C9" s="9">
        <v>7</v>
      </c>
      <c r="D9" s="2">
        <v>430</v>
      </c>
      <c r="E9" s="2">
        <v>4.5</v>
      </c>
      <c r="F9" s="10">
        <v>3</v>
      </c>
      <c r="H9" s="17" t="s">
        <v>9</v>
      </c>
      <c r="I9" s="35">
        <v>47.463412634764822</v>
      </c>
      <c r="L9" s="31">
        <f>_xlfn.F.INV.RT(0.05, 2, 12)</f>
        <v>3.8852938346523942</v>
      </c>
      <c r="M9" s="31"/>
      <c r="N9" s="28">
        <f>_xlfn.F.INV(0.95, 2, 12)</f>
        <v>3.8852938346523924</v>
      </c>
    </row>
    <row r="10" spans="3:17" ht="16.5" thickBot="1" x14ac:dyDescent="0.3">
      <c r="C10" s="9">
        <v>8</v>
      </c>
      <c r="D10" s="2">
        <v>470</v>
      </c>
      <c r="E10" s="2">
        <v>6.4</v>
      </c>
      <c r="F10" s="10">
        <v>3.7</v>
      </c>
      <c r="H10" s="18" t="s">
        <v>10</v>
      </c>
      <c r="I10" s="18">
        <v>15</v>
      </c>
    </row>
    <row r="11" spans="3:17" s="1" customFormat="1" ht="12.75" customHeight="1" x14ac:dyDescent="0.25">
      <c r="C11" s="9">
        <v>9</v>
      </c>
      <c r="D11" s="2">
        <v>450</v>
      </c>
      <c r="E11" s="2">
        <v>7</v>
      </c>
      <c r="F11" s="10">
        <v>3.5</v>
      </c>
    </row>
    <row r="12" spans="3:17" ht="16.5" thickBot="1" x14ac:dyDescent="0.3">
      <c r="C12" s="9">
        <v>10</v>
      </c>
      <c r="D12" s="2">
        <v>490</v>
      </c>
      <c r="E12" s="2">
        <v>5</v>
      </c>
      <c r="F12" s="10">
        <v>4</v>
      </c>
      <c r="H12" t="s">
        <v>11</v>
      </c>
      <c r="L12" s="29">
        <f>MSR/MSE</f>
        <v>6.5386067890204682</v>
      </c>
      <c r="M12" s="30">
        <f>_xlfn.F.DIST.RT(6.538606789, 2, 12)</f>
        <v>1.2006372233303975E-2</v>
      </c>
    </row>
    <row r="13" spans="3:17" ht="13.5" customHeight="1" x14ac:dyDescent="0.25">
      <c r="C13" s="9">
        <v>11</v>
      </c>
      <c r="D13" s="2">
        <v>340</v>
      </c>
      <c r="E13" s="2">
        <v>7.2</v>
      </c>
      <c r="F13" s="10">
        <v>3.5</v>
      </c>
      <c r="H13" s="19"/>
      <c r="I13" s="19" t="s">
        <v>16</v>
      </c>
      <c r="J13" s="19" t="s">
        <v>17</v>
      </c>
      <c r="K13" s="19" t="s">
        <v>18</v>
      </c>
      <c r="L13" s="19" t="s">
        <v>19</v>
      </c>
      <c r="M13" s="19" t="s">
        <v>20</v>
      </c>
    </row>
    <row r="14" spans="3:17" ht="15.75" x14ac:dyDescent="0.25">
      <c r="C14" s="9">
        <v>12</v>
      </c>
      <c r="D14" s="2">
        <v>300</v>
      </c>
      <c r="E14" s="2">
        <v>7.9</v>
      </c>
      <c r="F14" s="10">
        <v>3.2</v>
      </c>
      <c r="H14" s="17" t="s">
        <v>12</v>
      </c>
      <c r="I14" s="17">
        <v>2</v>
      </c>
      <c r="J14" s="17">
        <v>29460.026866077889</v>
      </c>
      <c r="K14" s="29">
        <v>14730.013433038945</v>
      </c>
      <c r="L14" s="29">
        <v>6.5386067890204682</v>
      </c>
      <c r="M14" s="30">
        <v>1.2006372233186397E-2</v>
      </c>
      <c r="N14" s="32" t="s">
        <v>32</v>
      </c>
      <c r="O14" s="32"/>
      <c r="P14" s="32"/>
      <c r="Q14" s="32"/>
    </row>
    <row r="15" spans="3:17" ht="15.75" x14ac:dyDescent="0.25">
      <c r="C15" s="9">
        <v>13</v>
      </c>
      <c r="D15" s="2">
        <v>440</v>
      </c>
      <c r="E15" s="2">
        <v>5.9</v>
      </c>
      <c r="F15" s="10">
        <v>4</v>
      </c>
      <c r="H15" s="17" t="s">
        <v>13</v>
      </c>
      <c r="I15" s="17">
        <v>12</v>
      </c>
      <c r="J15" s="17">
        <v>27033.306467255439</v>
      </c>
      <c r="K15" s="29">
        <v>2252.7755389379531</v>
      </c>
      <c r="L15" s="17"/>
      <c r="M15" s="17"/>
    </row>
    <row r="16" spans="3:17" ht="16.5" thickBot="1" x14ac:dyDescent="0.3">
      <c r="C16" s="9">
        <v>14</v>
      </c>
      <c r="D16" s="2">
        <v>450</v>
      </c>
      <c r="E16" s="2">
        <v>5</v>
      </c>
      <c r="F16" s="10">
        <v>3.5</v>
      </c>
      <c r="H16" s="18" t="s">
        <v>14</v>
      </c>
      <c r="I16" s="18">
        <v>14</v>
      </c>
      <c r="J16" s="18">
        <v>56493.333333333328</v>
      </c>
      <c r="K16" s="18"/>
      <c r="L16" s="18"/>
      <c r="M16" s="18"/>
    </row>
    <row r="17" spans="3:16" s="27" customFormat="1" ht="13.5" customHeight="1" thickBot="1" x14ac:dyDescent="0.3">
      <c r="C17" s="11">
        <v>15</v>
      </c>
      <c r="D17" s="12">
        <v>300</v>
      </c>
      <c r="E17" s="12">
        <v>7</v>
      </c>
      <c r="F17" s="13">
        <v>2.7</v>
      </c>
      <c r="G17" s="1"/>
      <c r="M17" s="37">
        <f>B_2 - t_alfa_2* S_b_2</f>
        <v>17.553032057087563</v>
      </c>
      <c r="N17" s="37">
        <f>B_2 + t_alfa_2* S_b_2</f>
        <v>130.70888292039436</v>
      </c>
    </row>
    <row r="18" spans="3:16" x14ac:dyDescent="0.25">
      <c r="H18" s="19"/>
      <c r="I18" s="19" t="s">
        <v>21</v>
      </c>
      <c r="J18" s="19" t="s">
        <v>9</v>
      </c>
      <c r="K18" s="19" t="s">
        <v>22</v>
      </c>
      <c r="L18" s="19" t="s">
        <v>23</v>
      </c>
      <c r="M18" s="19" t="s">
        <v>24</v>
      </c>
      <c r="N18" s="19" t="s">
        <v>25</v>
      </c>
      <c r="O18" s="19" t="s">
        <v>26</v>
      </c>
      <c r="P18" s="19" t="s">
        <v>27</v>
      </c>
    </row>
    <row r="19" spans="3:16" x14ac:dyDescent="0.25">
      <c r="H19" s="17" t="s">
        <v>15</v>
      </c>
      <c r="I19" s="17">
        <v>306.52619328374368</v>
      </c>
      <c r="J19" s="17">
        <v>114.25389351049147</v>
      </c>
      <c r="K19" s="17">
        <v>2.6828511822714964</v>
      </c>
      <c r="L19" s="17">
        <v>1.9931590985369695E-2</v>
      </c>
      <c r="M19" s="17">
        <v>57.588344263651578</v>
      </c>
      <c r="N19" s="17">
        <v>555.46404230383575</v>
      </c>
      <c r="O19" s="17">
        <v>57.588344263651578</v>
      </c>
      <c r="P19" s="17">
        <v>555.46404230383575</v>
      </c>
    </row>
    <row r="20" spans="3:16" x14ac:dyDescent="0.25">
      <c r="H20" s="17" t="s">
        <v>2</v>
      </c>
      <c r="I20" s="17">
        <v>-24.975089517826945</v>
      </c>
      <c r="J20" s="17">
        <v>10.832125119411648</v>
      </c>
      <c r="K20" s="17">
        <v>-2.3056500218106306</v>
      </c>
      <c r="L20" s="17">
        <v>3.9788461178665177E-2</v>
      </c>
      <c r="M20" s="17">
        <v>-48.576262700561699</v>
      </c>
      <c r="N20" s="17">
        <v>-1.3739163350921864</v>
      </c>
      <c r="O20" s="17">
        <v>-48.576262700561699</v>
      </c>
      <c r="P20" s="17">
        <v>-1.3739163350921864</v>
      </c>
    </row>
    <row r="21" spans="3:16" ht="15.75" thickBot="1" x14ac:dyDescent="0.3">
      <c r="H21" s="18" t="s">
        <v>3</v>
      </c>
      <c r="I21" s="34">
        <v>74.130957488740961</v>
      </c>
      <c r="J21" s="34">
        <v>25.967317917939091</v>
      </c>
      <c r="K21" s="34">
        <v>2.854779139031868</v>
      </c>
      <c r="L21" s="18">
        <v>1.449362679645921E-2</v>
      </c>
      <c r="M21" s="38">
        <v>17.553032057087563</v>
      </c>
      <c r="N21" s="37">
        <v>130.70888292039436</v>
      </c>
      <c r="O21" s="18">
        <v>17.553032057087563</v>
      </c>
      <c r="P21" s="18">
        <v>130.70888292039436</v>
      </c>
    </row>
    <row r="22" spans="3:16" x14ac:dyDescent="0.25">
      <c r="J22" s="33">
        <f>Standard_Error/SQRT(_xlfn.VAR.P(F3:F17)*15)</f>
        <v>25.955286467604601</v>
      </c>
      <c r="K22" s="33">
        <f>B_2/S_b_2</f>
        <v>2.854779139031868</v>
      </c>
      <c r="N22" s="36" t="s">
        <v>33</v>
      </c>
      <c r="O22" s="36">
        <f>_xlfn.T.INV.2T(0.05, 12)</f>
        <v>2.1788128296672284</v>
      </c>
    </row>
  </sheetData>
  <mergeCells count="4">
    <mergeCell ref="L3:O3"/>
    <mergeCell ref="H1:L1"/>
    <mergeCell ref="L9:M9"/>
    <mergeCell ref="N14:Q14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9FA1C-F883-409F-BACE-E8CBB523EE1E}">
  <dimension ref="C1:R22"/>
  <sheetViews>
    <sheetView workbookViewId="0">
      <selection activeCell="M35" sqref="M35"/>
    </sheetView>
  </sheetViews>
  <sheetFormatPr defaultRowHeight="15" x14ac:dyDescent="0.25"/>
  <cols>
    <col min="1" max="2" width="1.85546875" customWidth="1"/>
    <col min="3" max="3" width="6.28515625" style="1" bestFit="1" customWidth="1"/>
    <col min="4" max="4" width="9.28515625" style="1" bestFit="1" customWidth="1"/>
    <col min="5" max="5" width="8.7109375" style="1" bestFit="1" customWidth="1"/>
    <col min="6" max="6" width="19.28515625" style="1" bestFit="1" customWidth="1"/>
    <col min="7" max="7" width="4.28515625" style="1" customWidth="1"/>
    <col min="8" max="8" width="18" bestFit="1" customWidth="1"/>
    <col min="9" max="12" width="12" customWidth="1"/>
    <col min="13" max="13" width="13.42578125" bestFit="1" customWidth="1"/>
    <col min="14" max="16" width="12" customWidth="1"/>
    <col min="17" max="17" width="9.140625" customWidth="1"/>
    <col min="18" max="18" width="7" customWidth="1"/>
  </cols>
  <sheetData>
    <row r="1" spans="3:18" ht="17.25" customHeight="1" thickBot="1" x14ac:dyDescent="0.35">
      <c r="H1" s="14" t="s">
        <v>35</v>
      </c>
      <c r="I1" s="15"/>
      <c r="J1" s="15"/>
      <c r="K1" s="15"/>
      <c r="L1" s="15"/>
      <c r="M1" s="16"/>
    </row>
    <row r="2" spans="3:18" s="27" customFormat="1" ht="14.25" customHeight="1" thickBot="1" x14ac:dyDescent="0.3">
      <c r="C2" s="39" t="s">
        <v>0</v>
      </c>
      <c r="D2" s="40" t="s">
        <v>1</v>
      </c>
      <c r="E2" s="40" t="s">
        <v>2</v>
      </c>
      <c r="F2" s="41" t="s">
        <v>3</v>
      </c>
      <c r="G2" s="1"/>
    </row>
    <row r="3" spans="3:18" ht="15.75" x14ac:dyDescent="0.25">
      <c r="C3" s="42">
        <v>1</v>
      </c>
      <c r="D3" s="43">
        <v>350</v>
      </c>
      <c r="E3" s="43">
        <v>5.5</v>
      </c>
      <c r="F3" s="44">
        <v>3.3</v>
      </c>
      <c r="H3" t="s">
        <v>4</v>
      </c>
      <c r="K3" t="s">
        <v>4</v>
      </c>
      <c r="M3" s="21"/>
      <c r="N3" s="27"/>
      <c r="O3" s="27"/>
      <c r="P3" s="27"/>
      <c r="Q3" s="27"/>
      <c r="R3" s="27"/>
    </row>
    <row r="4" spans="3:18" s="27" customFormat="1" ht="14.25" customHeight="1" thickBot="1" x14ac:dyDescent="0.3">
      <c r="C4" s="45">
        <v>2</v>
      </c>
      <c r="D4" s="46">
        <v>460</v>
      </c>
      <c r="E4" s="46">
        <v>7.5</v>
      </c>
      <c r="F4" s="47">
        <v>3.3</v>
      </c>
      <c r="G4" s="1"/>
      <c r="K4"/>
      <c r="L4"/>
    </row>
    <row r="5" spans="3:18" ht="13.5" customHeight="1" x14ac:dyDescent="0.25">
      <c r="C5" s="45">
        <v>3</v>
      </c>
      <c r="D5" s="46">
        <v>350</v>
      </c>
      <c r="E5" s="46">
        <v>8</v>
      </c>
      <c r="F5" s="47">
        <v>3</v>
      </c>
      <c r="H5" s="20" t="s">
        <v>5</v>
      </c>
      <c r="I5" s="20"/>
      <c r="K5" s="20" t="s">
        <v>5</v>
      </c>
      <c r="L5" s="20"/>
      <c r="N5" s="27"/>
      <c r="O5" s="27"/>
      <c r="P5" s="27"/>
      <c r="Q5" s="27"/>
      <c r="R5" s="27"/>
    </row>
    <row r="6" spans="3:18" ht="13.5" customHeight="1" x14ac:dyDescent="0.25">
      <c r="C6" s="45">
        <v>4</v>
      </c>
      <c r="D6" s="46">
        <v>430</v>
      </c>
      <c r="E6" s="46">
        <v>8</v>
      </c>
      <c r="F6" s="47">
        <v>4.5</v>
      </c>
      <c r="H6" s="17" t="s">
        <v>6</v>
      </c>
      <c r="I6" s="17">
        <v>0.722134292240182</v>
      </c>
      <c r="K6" s="17" t="s">
        <v>6</v>
      </c>
      <c r="L6" s="17">
        <v>0.55631985716811705</v>
      </c>
      <c r="N6" s="27"/>
      <c r="O6" s="27"/>
      <c r="P6" s="27"/>
      <c r="Q6" s="27"/>
      <c r="R6" s="27"/>
    </row>
    <row r="7" spans="3:18" ht="13.5" customHeight="1" x14ac:dyDescent="0.25">
      <c r="C7" s="45">
        <v>5</v>
      </c>
      <c r="D7" s="46">
        <v>350</v>
      </c>
      <c r="E7" s="46">
        <v>6.8</v>
      </c>
      <c r="F7" s="47">
        <v>3</v>
      </c>
      <c r="H7" s="17" t="s">
        <v>7</v>
      </c>
      <c r="I7" s="17">
        <v>0.52147793602922865</v>
      </c>
      <c r="K7" s="17" t="s">
        <v>7</v>
      </c>
      <c r="L7" s="17">
        <v>0.30949178347955414</v>
      </c>
    </row>
    <row r="8" spans="3:18" ht="15" customHeight="1" x14ac:dyDescent="0.25">
      <c r="C8" s="45">
        <v>6</v>
      </c>
      <c r="D8" s="46">
        <v>380</v>
      </c>
      <c r="E8" s="46">
        <v>7.5</v>
      </c>
      <c r="F8" s="47">
        <v>4</v>
      </c>
      <c r="H8" s="17" t="s">
        <v>8</v>
      </c>
      <c r="I8" s="17">
        <v>0.44172425870076676</v>
      </c>
      <c r="K8" s="17" t="s">
        <v>8</v>
      </c>
      <c r="L8" s="17">
        <v>0.25637576682413521</v>
      </c>
    </row>
    <row r="9" spans="3:18" ht="15" customHeight="1" x14ac:dyDescent="0.25">
      <c r="C9" s="45">
        <v>7</v>
      </c>
      <c r="D9" s="46">
        <v>430</v>
      </c>
      <c r="E9" s="46">
        <v>4.5</v>
      </c>
      <c r="F9" s="47">
        <v>3</v>
      </c>
      <c r="H9" s="17" t="s">
        <v>9</v>
      </c>
      <c r="I9" s="17">
        <v>47.463412634764822</v>
      </c>
      <c r="K9" s="17" t="s">
        <v>9</v>
      </c>
      <c r="L9" s="17">
        <v>54.778653089077189</v>
      </c>
    </row>
    <row r="10" spans="3:18" ht="15" customHeight="1" thickBot="1" x14ac:dyDescent="0.3">
      <c r="C10" s="45">
        <v>8</v>
      </c>
      <c r="D10" s="46">
        <v>470</v>
      </c>
      <c r="E10" s="46">
        <v>6.4</v>
      </c>
      <c r="F10" s="47">
        <v>3.7</v>
      </c>
      <c r="H10" s="18" t="s">
        <v>10</v>
      </c>
      <c r="I10" s="18">
        <v>15</v>
      </c>
      <c r="K10" s="18" t="s">
        <v>10</v>
      </c>
      <c r="L10" s="18">
        <v>15</v>
      </c>
    </row>
    <row r="11" spans="3:18" s="1" customFormat="1" ht="12.75" customHeight="1" thickBot="1" x14ac:dyDescent="0.3">
      <c r="C11" s="45">
        <v>9</v>
      </c>
      <c r="D11" s="46">
        <v>450</v>
      </c>
      <c r="E11" s="46">
        <v>7</v>
      </c>
      <c r="F11" s="47">
        <v>3.5</v>
      </c>
    </row>
    <row r="12" spans="3:18" ht="16.5" thickBot="1" x14ac:dyDescent="0.3">
      <c r="C12" s="45">
        <v>10</v>
      </c>
      <c r="D12" s="46">
        <v>490</v>
      </c>
      <c r="E12" s="46">
        <v>5</v>
      </c>
      <c r="F12" s="47">
        <v>4</v>
      </c>
      <c r="H12" t="s">
        <v>11</v>
      </c>
      <c r="I12" s="55" t="s">
        <v>36</v>
      </c>
      <c r="J12" s="56"/>
      <c r="K12" s="57"/>
    </row>
    <row r="13" spans="3:18" ht="13.5" customHeight="1" x14ac:dyDescent="0.25">
      <c r="C13" s="45">
        <v>11</v>
      </c>
      <c r="D13" s="46">
        <v>340</v>
      </c>
      <c r="E13" s="46">
        <v>7.2</v>
      </c>
      <c r="F13" s="47">
        <v>3.5</v>
      </c>
      <c r="H13" s="19"/>
      <c r="I13" s="19" t="s">
        <v>16</v>
      </c>
      <c r="J13" s="19" t="s">
        <v>17</v>
      </c>
      <c r="K13" s="19" t="s">
        <v>18</v>
      </c>
      <c r="L13" s="19" t="s">
        <v>19</v>
      </c>
      <c r="M13" s="19" t="s">
        <v>20</v>
      </c>
    </row>
    <row r="14" spans="3:18" ht="13.5" customHeight="1" x14ac:dyDescent="0.25">
      <c r="C14" s="45">
        <v>12</v>
      </c>
      <c r="D14" s="46">
        <v>300</v>
      </c>
      <c r="E14" s="46">
        <v>7.9</v>
      </c>
      <c r="F14" s="47">
        <v>3.2</v>
      </c>
      <c r="H14" s="17" t="s">
        <v>12</v>
      </c>
      <c r="I14" s="17">
        <v>2</v>
      </c>
      <c r="J14" s="51">
        <v>29460.026866077889</v>
      </c>
      <c r="K14" s="17">
        <v>14730.013433038945</v>
      </c>
      <c r="L14" s="17">
        <v>6.5386067890204682</v>
      </c>
      <c r="M14" s="17">
        <v>1.2006372233186397E-2</v>
      </c>
      <c r="P14" s="52" t="s">
        <v>31</v>
      </c>
      <c r="Q14" s="52">
        <v>0.05</v>
      </c>
    </row>
    <row r="15" spans="3:18" ht="15.75" x14ac:dyDescent="0.25">
      <c r="C15" s="45">
        <v>13</v>
      </c>
      <c r="D15" s="46">
        <v>440</v>
      </c>
      <c r="E15" s="46">
        <v>5.9</v>
      </c>
      <c r="F15" s="47">
        <v>4</v>
      </c>
      <c r="H15" s="17" t="s">
        <v>13</v>
      </c>
      <c r="I15" s="17">
        <v>12</v>
      </c>
      <c r="J15" s="17">
        <v>27033.306467255439</v>
      </c>
      <c r="K15" s="51">
        <v>2252.7755389379531</v>
      </c>
      <c r="L15" s="17"/>
      <c r="M15" s="17"/>
      <c r="P15" s="53">
        <f>_xlfn.F.INV.RT(0.05, 1, 12)</f>
        <v>4.7472253467225149</v>
      </c>
      <c r="Q15" s="53"/>
    </row>
    <row r="16" spans="3:18" ht="16.5" thickBot="1" x14ac:dyDescent="0.3">
      <c r="C16" s="45">
        <v>14</v>
      </c>
      <c r="D16" s="46">
        <v>450</v>
      </c>
      <c r="E16" s="46">
        <v>5</v>
      </c>
      <c r="F16" s="47">
        <v>3.5</v>
      </c>
      <c r="H16" s="18" t="s">
        <v>14</v>
      </c>
      <c r="I16" s="18">
        <v>14</v>
      </c>
      <c r="J16" s="18">
        <v>56493.333333333328</v>
      </c>
      <c r="K16" s="18"/>
      <c r="L16" s="18"/>
      <c r="M16" s="18"/>
    </row>
    <row r="17" spans="3:15" ht="12.75" customHeight="1" thickBot="1" x14ac:dyDescent="0.3">
      <c r="C17" s="48">
        <v>15</v>
      </c>
      <c r="D17" s="49">
        <v>300</v>
      </c>
      <c r="E17" s="49">
        <v>7</v>
      </c>
      <c r="F17" s="50">
        <v>2.7</v>
      </c>
      <c r="O17" s="54">
        <f>(SSR - SSR_Advertising) / MSE_</f>
        <v>5.3160220230753552</v>
      </c>
    </row>
    <row r="18" spans="3:15" ht="15.75" thickBot="1" x14ac:dyDescent="0.3">
      <c r="H18" t="s">
        <v>11</v>
      </c>
      <c r="I18" s="55" t="s">
        <v>3</v>
      </c>
      <c r="J18" s="56"/>
      <c r="K18" s="57"/>
      <c r="O18" s="54"/>
    </row>
    <row r="19" spans="3:15" x14ac:dyDescent="0.25">
      <c r="H19" s="19"/>
      <c r="I19" s="19" t="s">
        <v>16</v>
      </c>
      <c r="J19" s="19" t="s">
        <v>17</v>
      </c>
      <c r="K19" s="19" t="s">
        <v>18</v>
      </c>
      <c r="L19" s="19" t="s">
        <v>19</v>
      </c>
      <c r="M19" s="19" t="s">
        <v>20</v>
      </c>
    </row>
    <row r="20" spans="3:15" x14ac:dyDescent="0.25">
      <c r="H20" s="17" t="s">
        <v>12</v>
      </c>
      <c r="I20" s="17">
        <v>1</v>
      </c>
      <c r="J20" s="51">
        <v>17484.222488038278</v>
      </c>
      <c r="K20" s="17">
        <v>17484.222488038278</v>
      </c>
      <c r="L20" s="17">
        <v>5.8267129759998619</v>
      </c>
      <c r="M20" s="17">
        <v>3.1262951418180127E-2</v>
      </c>
    </row>
    <row r="21" spans="3:15" x14ac:dyDescent="0.25">
      <c r="H21" s="17" t="s">
        <v>13</v>
      </c>
      <c r="I21" s="17">
        <v>13</v>
      </c>
      <c r="J21" s="17">
        <v>39009.11084529505</v>
      </c>
      <c r="K21" s="17">
        <v>3000.7008342534655</v>
      </c>
      <c r="L21" s="17"/>
      <c r="M21" s="17"/>
    </row>
    <row r="22" spans="3:15" ht="15.75" thickBot="1" x14ac:dyDescent="0.3">
      <c r="H22" s="18" t="s">
        <v>14</v>
      </c>
      <c r="I22" s="18">
        <v>14</v>
      </c>
      <c r="J22" s="18">
        <v>56493.333333333328</v>
      </c>
      <c r="K22" s="18"/>
      <c r="L22" s="18"/>
      <c r="M22" s="18"/>
    </row>
  </sheetData>
  <mergeCells count="5">
    <mergeCell ref="H1:M1"/>
    <mergeCell ref="P15:Q15"/>
    <mergeCell ref="O17:O18"/>
    <mergeCell ref="I12:K12"/>
    <mergeCell ref="I18:K18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195F7-AC59-4848-99E8-E39982C7E523}">
  <dimension ref="C1:R22"/>
  <sheetViews>
    <sheetView workbookViewId="0">
      <selection activeCell="H31" sqref="H31:P37"/>
    </sheetView>
  </sheetViews>
  <sheetFormatPr defaultRowHeight="15" x14ac:dyDescent="0.25"/>
  <cols>
    <col min="1" max="2" width="1.85546875" customWidth="1"/>
    <col min="3" max="3" width="6.28515625" style="1" bestFit="1" customWidth="1"/>
    <col min="4" max="4" width="9.28515625" style="1" bestFit="1" customWidth="1"/>
    <col min="5" max="5" width="8.7109375" style="1" bestFit="1" customWidth="1"/>
    <col min="6" max="6" width="19.28515625" style="1" bestFit="1" customWidth="1"/>
    <col min="7" max="7" width="4.28515625" style="1" customWidth="1"/>
    <col min="8" max="8" width="18" bestFit="1" customWidth="1"/>
    <col min="9" max="12" width="12" customWidth="1"/>
    <col min="13" max="13" width="13.42578125" bestFit="1" customWidth="1"/>
    <col min="14" max="16" width="12" customWidth="1"/>
    <col min="17" max="17" width="9.140625" customWidth="1"/>
    <col min="18" max="18" width="7" customWidth="1"/>
  </cols>
  <sheetData>
    <row r="1" spans="3:18" ht="17.25" customHeight="1" thickBot="1" x14ac:dyDescent="0.35">
      <c r="H1" s="14" t="s">
        <v>35</v>
      </c>
      <c r="I1" s="15"/>
      <c r="J1" s="15"/>
      <c r="K1" s="15"/>
      <c r="L1" s="15"/>
      <c r="M1" s="16"/>
    </row>
    <row r="2" spans="3:18" s="27" customFormat="1" ht="14.25" customHeight="1" thickBot="1" x14ac:dyDescent="0.3">
      <c r="C2" s="39" t="s">
        <v>0</v>
      </c>
      <c r="D2" s="40" t="s">
        <v>1</v>
      </c>
      <c r="E2" s="40" t="s">
        <v>2</v>
      </c>
      <c r="F2" s="41" t="s">
        <v>3</v>
      </c>
      <c r="G2" s="1"/>
    </row>
    <row r="3" spans="3:18" ht="15.75" x14ac:dyDescent="0.25">
      <c r="C3" s="42">
        <v>1</v>
      </c>
      <c r="D3" s="43">
        <v>350</v>
      </c>
      <c r="E3" s="43">
        <v>5.5</v>
      </c>
      <c r="F3" s="44">
        <v>3.3</v>
      </c>
      <c r="H3" t="s">
        <v>4</v>
      </c>
      <c r="K3" t="s">
        <v>4</v>
      </c>
      <c r="M3" s="21"/>
      <c r="N3" s="27"/>
      <c r="O3" s="27"/>
      <c r="P3" s="27"/>
      <c r="Q3" s="27"/>
      <c r="R3" s="27"/>
    </row>
    <row r="4" spans="3:18" s="27" customFormat="1" ht="14.25" customHeight="1" thickBot="1" x14ac:dyDescent="0.3">
      <c r="C4" s="45">
        <v>2</v>
      </c>
      <c r="D4" s="46">
        <v>460</v>
      </c>
      <c r="E4" s="46">
        <v>7.5</v>
      </c>
      <c r="F4" s="47">
        <v>3.3</v>
      </c>
      <c r="G4" s="1"/>
      <c r="K4"/>
      <c r="L4"/>
    </row>
    <row r="5" spans="3:18" ht="13.5" customHeight="1" x14ac:dyDescent="0.25">
      <c r="C5" s="45">
        <v>3</v>
      </c>
      <c r="D5" s="46">
        <v>350</v>
      </c>
      <c r="E5" s="46">
        <v>8</v>
      </c>
      <c r="F5" s="47">
        <v>3</v>
      </c>
      <c r="H5" s="20" t="s">
        <v>5</v>
      </c>
      <c r="I5" s="20"/>
      <c r="K5" s="20" t="s">
        <v>5</v>
      </c>
      <c r="L5" s="20"/>
      <c r="N5" s="27"/>
      <c r="O5" s="27"/>
      <c r="P5" s="27"/>
      <c r="Q5" s="27"/>
      <c r="R5" s="27"/>
    </row>
    <row r="6" spans="3:18" ht="13.5" customHeight="1" x14ac:dyDescent="0.25">
      <c r="C6" s="45">
        <v>4</v>
      </c>
      <c r="D6" s="46">
        <v>430</v>
      </c>
      <c r="E6" s="46">
        <v>8</v>
      </c>
      <c r="F6" s="47">
        <v>4.5</v>
      </c>
      <c r="H6" s="17" t="s">
        <v>6</v>
      </c>
      <c r="I6" s="17">
        <v>0.722134292240182</v>
      </c>
      <c r="K6" s="17" t="s">
        <v>6</v>
      </c>
      <c r="L6" s="17">
        <v>0.44327318273872063</v>
      </c>
      <c r="N6" s="27"/>
      <c r="O6" s="27"/>
      <c r="P6" s="27"/>
      <c r="Q6" s="27"/>
      <c r="R6" s="27"/>
    </row>
    <row r="7" spans="3:18" ht="13.5" customHeight="1" x14ac:dyDescent="0.25">
      <c r="C7" s="45">
        <v>5</v>
      </c>
      <c r="D7" s="46">
        <v>350</v>
      </c>
      <c r="E7" s="46">
        <v>6.8</v>
      </c>
      <c r="F7" s="47">
        <v>3</v>
      </c>
      <c r="H7" s="17" t="s">
        <v>7</v>
      </c>
      <c r="I7" s="17">
        <v>0.52147793602922865</v>
      </c>
      <c r="K7" s="17" t="s">
        <v>7</v>
      </c>
      <c r="L7" s="17">
        <v>0.1964911145353152</v>
      </c>
    </row>
    <row r="8" spans="3:18" ht="15" customHeight="1" x14ac:dyDescent="0.25">
      <c r="C8" s="45">
        <v>6</v>
      </c>
      <c r="D8" s="46">
        <v>380</v>
      </c>
      <c r="E8" s="46">
        <v>7.5</v>
      </c>
      <c r="F8" s="47">
        <v>4</v>
      </c>
      <c r="H8" s="17" t="s">
        <v>8</v>
      </c>
      <c r="I8" s="17">
        <v>0.44172425870076676</v>
      </c>
      <c r="K8" s="17" t="s">
        <v>8</v>
      </c>
      <c r="L8" s="17">
        <v>0.13468273873033945</v>
      </c>
    </row>
    <row r="9" spans="3:18" ht="15" customHeight="1" x14ac:dyDescent="0.25">
      <c r="C9" s="45">
        <v>7</v>
      </c>
      <c r="D9" s="46">
        <v>430</v>
      </c>
      <c r="E9" s="46">
        <v>4.5</v>
      </c>
      <c r="F9" s="47">
        <v>3</v>
      </c>
      <c r="H9" s="17" t="s">
        <v>9</v>
      </c>
      <c r="I9" s="17">
        <v>47.463412634764822</v>
      </c>
      <c r="K9" s="17" t="s">
        <v>9</v>
      </c>
      <c r="L9" s="17">
        <v>59.091126043953757</v>
      </c>
    </row>
    <row r="10" spans="3:18" ht="15" customHeight="1" thickBot="1" x14ac:dyDescent="0.3">
      <c r="C10" s="45">
        <v>8</v>
      </c>
      <c r="D10" s="46">
        <v>470</v>
      </c>
      <c r="E10" s="46">
        <v>6.4</v>
      </c>
      <c r="F10" s="47">
        <v>3.7</v>
      </c>
      <c r="H10" s="18" t="s">
        <v>10</v>
      </c>
      <c r="I10" s="18">
        <v>15</v>
      </c>
      <c r="K10" s="18" t="s">
        <v>10</v>
      </c>
      <c r="L10" s="18">
        <v>15</v>
      </c>
    </row>
    <row r="11" spans="3:18" s="1" customFormat="1" ht="12.75" customHeight="1" thickBot="1" x14ac:dyDescent="0.3">
      <c r="C11" s="45">
        <v>9</v>
      </c>
      <c r="D11" s="46">
        <v>450</v>
      </c>
      <c r="E11" s="46">
        <v>7</v>
      </c>
      <c r="F11" s="47">
        <v>3.5</v>
      </c>
    </row>
    <row r="12" spans="3:18" ht="16.5" thickBot="1" x14ac:dyDescent="0.3">
      <c r="C12" s="45">
        <v>10</v>
      </c>
      <c r="D12" s="46">
        <v>490</v>
      </c>
      <c r="E12" s="46">
        <v>5</v>
      </c>
      <c r="F12" s="47">
        <v>4</v>
      </c>
      <c r="H12" t="s">
        <v>11</v>
      </c>
      <c r="I12" s="55" t="s">
        <v>36</v>
      </c>
      <c r="J12" s="56"/>
      <c r="K12" s="57"/>
    </row>
    <row r="13" spans="3:18" ht="13.5" customHeight="1" x14ac:dyDescent="0.25">
      <c r="C13" s="45">
        <v>11</v>
      </c>
      <c r="D13" s="46">
        <v>340</v>
      </c>
      <c r="E13" s="46">
        <v>7.2</v>
      </c>
      <c r="F13" s="47">
        <v>3.5</v>
      </c>
      <c r="H13" s="19"/>
      <c r="I13" s="19" t="s">
        <v>16</v>
      </c>
      <c r="J13" s="19" t="s">
        <v>17</v>
      </c>
      <c r="K13" s="19" t="s">
        <v>18</v>
      </c>
      <c r="L13" s="19" t="s">
        <v>19</v>
      </c>
      <c r="M13" s="19" t="s">
        <v>20</v>
      </c>
    </row>
    <row r="14" spans="3:18" ht="13.5" customHeight="1" x14ac:dyDescent="0.25">
      <c r="C14" s="45">
        <v>12</v>
      </c>
      <c r="D14" s="46">
        <v>300</v>
      </c>
      <c r="E14" s="46">
        <v>7.9</v>
      </c>
      <c r="F14" s="47">
        <v>3.2</v>
      </c>
      <c r="H14" s="17" t="s">
        <v>12</v>
      </c>
      <c r="I14" s="17">
        <v>2</v>
      </c>
      <c r="J14" s="51">
        <v>29460.026866077889</v>
      </c>
      <c r="K14" s="17">
        <v>14730.013433038945</v>
      </c>
      <c r="L14" s="17">
        <v>6.5386067890204682</v>
      </c>
      <c r="M14" s="17">
        <v>1.2006372233186397E-2</v>
      </c>
      <c r="P14" s="52" t="s">
        <v>31</v>
      </c>
      <c r="Q14" s="52">
        <v>0.05</v>
      </c>
    </row>
    <row r="15" spans="3:18" ht="15.75" x14ac:dyDescent="0.25">
      <c r="C15" s="45">
        <v>13</v>
      </c>
      <c r="D15" s="46">
        <v>440</v>
      </c>
      <c r="E15" s="46">
        <v>5.9</v>
      </c>
      <c r="F15" s="47">
        <v>4</v>
      </c>
      <c r="H15" s="17" t="s">
        <v>13</v>
      </c>
      <c r="I15" s="17">
        <v>12</v>
      </c>
      <c r="J15" s="17">
        <v>27033.306467255439</v>
      </c>
      <c r="K15" s="51">
        <v>2252.7755389379531</v>
      </c>
      <c r="L15" s="17"/>
      <c r="M15" s="17"/>
      <c r="P15" s="53">
        <f>_xlfn.F.INV.RT(0.05, 1, 12)</f>
        <v>4.7472253467225149</v>
      </c>
      <c r="Q15" s="53"/>
    </row>
    <row r="16" spans="3:18" ht="16.5" thickBot="1" x14ac:dyDescent="0.3">
      <c r="C16" s="45">
        <v>14</v>
      </c>
      <c r="D16" s="46">
        <v>450</v>
      </c>
      <c r="E16" s="46">
        <v>5</v>
      </c>
      <c r="F16" s="47">
        <v>3.5</v>
      </c>
      <c r="H16" s="18" t="s">
        <v>14</v>
      </c>
      <c r="I16" s="18">
        <v>14</v>
      </c>
      <c r="J16" s="18">
        <v>56493.333333333328</v>
      </c>
      <c r="K16" s="18"/>
      <c r="L16" s="18"/>
      <c r="M16" s="18"/>
    </row>
    <row r="17" spans="3:15" ht="12.75" customHeight="1" thickBot="1" x14ac:dyDescent="0.3">
      <c r="C17" s="48">
        <v>15</v>
      </c>
      <c r="D17" s="49">
        <v>300</v>
      </c>
      <c r="E17" s="49">
        <v>7</v>
      </c>
      <c r="F17" s="50">
        <v>2.7</v>
      </c>
      <c r="O17" s="54">
        <f>(SSR - SSR_Price) / MSE_</f>
        <v>8.149763932651533</v>
      </c>
    </row>
    <row r="18" spans="3:15" ht="15.75" thickBot="1" x14ac:dyDescent="0.3">
      <c r="H18" t="s">
        <v>11</v>
      </c>
      <c r="I18" s="55" t="s">
        <v>2</v>
      </c>
      <c r="J18" s="56"/>
      <c r="K18" s="57"/>
      <c r="O18" s="54"/>
    </row>
    <row r="19" spans="3:15" x14ac:dyDescent="0.25">
      <c r="H19" s="19"/>
      <c r="I19" s="19" t="s">
        <v>16</v>
      </c>
      <c r="J19" s="19" t="s">
        <v>17</v>
      </c>
      <c r="K19" s="19" t="s">
        <v>18</v>
      </c>
      <c r="L19" s="19" t="s">
        <v>19</v>
      </c>
      <c r="M19" s="19" t="s">
        <v>20</v>
      </c>
    </row>
    <row r="20" spans="3:15" x14ac:dyDescent="0.25">
      <c r="H20" s="17" t="s">
        <v>12</v>
      </c>
      <c r="I20" s="17">
        <v>1</v>
      </c>
      <c r="J20" s="51">
        <v>11100.438030481739</v>
      </c>
      <c r="K20" s="17">
        <v>11100.438030481739</v>
      </c>
      <c r="L20" s="17">
        <v>3.1790370152308238</v>
      </c>
      <c r="M20" s="17">
        <v>9.7941126333079845E-2</v>
      </c>
    </row>
    <row r="21" spans="3:15" x14ac:dyDescent="0.25">
      <c r="H21" s="17" t="s">
        <v>13</v>
      </c>
      <c r="I21" s="17">
        <v>13</v>
      </c>
      <c r="J21" s="17">
        <v>45392.89530285159</v>
      </c>
      <c r="K21" s="17">
        <v>3491.7611771424299</v>
      </c>
      <c r="L21" s="17"/>
      <c r="M21" s="17"/>
    </row>
    <row r="22" spans="3:15" ht="15.75" thickBot="1" x14ac:dyDescent="0.3">
      <c r="H22" s="18" t="s">
        <v>14</v>
      </c>
      <c r="I22" s="18">
        <v>14</v>
      </c>
      <c r="J22" s="18">
        <v>56493.333333333328</v>
      </c>
      <c r="K22" s="18"/>
      <c r="L22" s="18"/>
      <c r="M22" s="18"/>
    </row>
  </sheetData>
  <mergeCells count="5">
    <mergeCell ref="H1:M1"/>
    <mergeCell ref="I12:K12"/>
    <mergeCell ref="P15:Q15"/>
    <mergeCell ref="O17:O18"/>
    <mergeCell ref="I18:K18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3015B-F9B9-4CB0-AE38-0202E99E7461}">
  <dimension ref="C1:P42"/>
  <sheetViews>
    <sheetView workbookViewId="0">
      <selection activeCell="L27" sqref="L27"/>
    </sheetView>
  </sheetViews>
  <sheetFormatPr defaultRowHeight="15" x14ac:dyDescent="0.25"/>
  <cols>
    <col min="1" max="2" width="2.42578125" customWidth="1"/>
    <col min="3" max="3" width="6.28515625" style="1" bestFit="1" customWidth="1"/>
    <col min="4" max="4" width="9.28515625" style="1" bestFit="1" customWidth="1"/>
    <col min="5" max="5" width="8.7109375" style="1" bestFit="1" customWidth="1"/>
    <col min="6" max="6" width="19.28515625" style="1" bestFit="1" customWidth="1"/>
    <col min="7" max="7" width="6.42578125" style="1" customWidth="1"/>
    <col min="8" max="8" width="18.140625" bestFit="1" customWidth="1"/>
    <col min="9" max="16" width="12" customWidth="1"/>
    <col min="17" max="17" width="9.140625" customWidth="1"/>
  </cols>
  <sheetData>
    <row r="1" spans="3:16" ht="19.5" thickBot="1" x14ac:dyDescent="0.35">
      <c r="H1" s="14" t="s">
        <v>37</v>
      </c>
      <c r="I1" s="15"/>
      <c r="J1" s="15"/>
      <c r="K1" s="16"/>
    </row>
    <row r="2" spans="3:16" s="27" customFormat="1" ht="14.25" customHeight="1" thickBot="1" x14ac:dyDescent="0.3">
      <c r="C2" s="3" t="s">
        <v>0</v>
      </c>
      <c r="D2" s="4" t="s">
        <v>1</v>
      </c>
      <c r="E2" s="4" t="s">
        <v>2</v>
      </c>
      <c r="F2" s="5" t="s">
        <v>3</v>
      </c>
      <c r="G2" s="1"/>
    </row>
    <row r="3" spans="3:16" ht="15.75" x14ac:dyDescent="0.25">
      <c r="C3" s="6">
        <v>1</v>
      </c>
      <c r="D3" s="7">
        <v>350</v>
      </c>
      <c r="E3" s="7">
        <v>5.5</v>
      </c>
      <c r="F3" s="8">
        <v>3.3</v>
      </c>
      <c r="H3" t="s">
        <v>4</v>
      </c>
    </row>
    <row r="4" spans="3:16" s="27" customFormat="1" ht="14.25" customHeight="1" thickBot="1" x14ac:dyDescent="0.3">
      <c r="C4" s="9">
        <v>2</v>
      </c>
      <c r="D4" s="2">
        <v>460</v>
      </c>
      <c r="E4" s="2">
        <v>7.5</v>
      </c>
      <c r="F4" s="10">
        <v>3.3</v>
      </c>
      <c r="G4" s="1"/>
      <c r="H4"/>
      <c r="I4"/>
      <c r="J4"/>
      <c r="K4"/>
      <c r="L4"/>
      <c r="M4"/>
      <c r="N4"/>
      <c r="O4"/>
      <c r="P4"/>
    </row>
    <row r="5" spans="3:16" ht="15.75" x14ac:dyDescent="0.25">
      <c r="C5" s="9">
        <v>3</v>
      </c>
      <c r="D5" s="2">
        <v>350</v>
      </c>
      <c r="E5" s="2">
        <v>8</v>
      </c>
      <c r="F5" s="10">
        <v>3</v>
      </c>
      <c r="H5" s="20" t="s">
        <v>5</v>
      </c>
      <c r="I5" s="20"/>
    </row>
    <row r="6" spans="3:16" ht="15.75" x14ac:dyDescent="0.25">
      <c r="C6" s="9">
        <v>4</v>
      </c>
      <c r="D6" s="2">
        <v>430</v>
      </c>
      <c r="E6" s="2">
        <v>8</v>
      </c>
      <c r="F6" s="10">
        <v>4.5</v>
      </c>
      <c r="H6" s="17" t="s">
        <v>6</v>
      </c>
      <c r="I6" s="17">
        <v>0.722134292240182</v>
      </c>
    </row>
    <row r="7" spans="3:16" ht="15.75" x14ac:dyDescent="0.25">
      <c r="C7" s="9">
        <v>5</v>
      </c>
      <c r="D7" s="2">
        <v>350</v>
      </c>
      <c r="E7" s="2">
        <v>6.8</v>
      </c>
      <c r="F7" s="10">
        <v>3</v>
      </c>
      <c r="H7" s="17" t="s">
        <v>7</v>
      </c>
      <c r="I7" s="17">
        <v>0.52147793602922865</v>
      </c>
    </row>
    <row r="8" spans="3:16" ht="15.75" x14ac:dyDescent="0.25">
      <c r="C8" s="9">
        <v>6</v>
      </c>
      <c r="D8" s="2">
        <v>380</v>
      </c>
      <c r="E8" s="2">
        <v>7.5</v>
      </c>
      <c r="F8" s="10">
        <v>4</v>
      </c>
      <c r="H8" s="17" t="s">
        <v>8</v>
      </c>
      <c r="I8" s="17">
        <v>0.44172425870076676</v>
      </c>
    </row>
    <row r="9" spans="3:16" ht="15.75" x14ac:dyDescent="0.25">
      <c r="C9" s="9">
        <v>7</v>
      </c>
      <c r="D9" s="2">
        <v>430</v>
      </c>
      <c r="E9" s="2">
        <v>4.5</v>
      </c>
      <c r="F9" s="10">
        <v>3</v>
      </c>
      <c r="H9" s="17" t="s">
        <v>9</v>
      </c>
      <c r="I9" s="17">
        <v>47.463412634764822</v>
      </c>
    </row>
    <row r="10" spans="3:16" ht="16.5" thickBot="1" x14ac:dyDescent="0.3">
      <c r="C10" s="9">
        <v>8</v>
      </c>
      <c r="D10" s="2">
        <v>470</v>
      </c>
      <c r="E10" s="2">
        <v>6.4</v>
      </c>
      <c r="F10" s="10">
        <v>3.7</v>
      </c>
      <c r="H10" s="18" t="s">
        <v>10</v>
      </c>
      <c r="I10" s="18">
        <v>15</v>
      </c>
    </row>
    <row r="11" spans="3:16" s="1" customFormat="1" ht="12.75" customHeight="1" x14ac:dyDescent="0.25">
      <c r="C11" s="9">
        <v>9</v>
      </c>
      <c r="D11" s="2">
        <v>450</v>
      </c>
      <c r="E11" s="2">
        <v>7</v>
      </c>
      <c r="F11" s="10">
        <v>3.5</v>
      </c>
      <c r="H11"/>
      <c r="I11"/>
      <c r="J11"/>
      <c r="K11"/>
      <c r="L11"/>
      <c r="M11"/>
      <c r="N11"/>
      <c r="O11"/>
      <c r="P11"/>
    </row>
    <row r="12" spans="3:16" ht="16.5" thickBot="1" x14ac:dyDescent="0.3">
      <c r="C12" s="9">
        <v>10</v>
      </c>
      <c r="D12" s="2">
        <v>490</v>
      </c>
      <c r="E12" s="2">
        <v>5</v>
      </c>
      <c r="F12" s="10">
        <v>4</v>
      </c>
      <c r="H12" t="s">
        <v>11</v>
      </c>
    </row>
    <row r="13" spans="3:16" ht="15.75" x14ac:dyDescent="0.25">
      <c r="C13" s="9">
        <v>11</v>
      </c>
      <c r="D13" s="2">
        <v>340</v>
      </c>
      <c r="E13" s="2">
        <v>7.2</v>
      </c>
      <c r="F13" s="10">
        <v>3.5</v>
      </c>
      <c r="H13" s="19"/>
      <c r="I13" s="19" t="s">
        <v>16</v>
      </c>
      <c r="J13" s="19" t="s">
        <v>17</v>
      </c>
      <c r="K13" s="19" t="s">
        <v>18</v>
      </c>
      <c r="L13" s="19" t="s">
        <v>19</v>
      </c>
      <c r="M13" s="19" t="s">
        <v>20</v>
      </c>
    </row>
    <row r="14" spans="3:16" ht="15.75" x14ac:dyDescent="0.25">
      <c r="C14" s="9">
        <v>12</v>
      </c>
      <c r="D14" s="2">
        <v>300</v>
      </c>
      <c r="E14" s="2">
        <v>7.9</v>
      </c>
      <c r="F14" s="10">
        <v>3.2</v>
      </c>
      <c r="H14" s="17" t="s">
        <v>12</v>
      </c>
      <c r="I14" s="17">
        <v>2</v>
      </c>
      <c r="J14" s="17">
        <v>29460.026866077889</v>
      </c>
      <c r="K14" s="17">
        <v>14730.013433038945</v>
      </c>
      <c r="L14" s="17">
        <v>6.5386067890204682</v>
      </c>
      <c r="M14" s="17">
        <v>1.2006372233186397E-2</v>
      </c>
    </row>
    <row r="15" spans="3:16" ht="15.75" x14ac:dyDescent="0.25">
      <c r="C15" s="9">
        <v>13</v>
      </c>
      <c r="D15" s="2">
        <v>440</v>
      </c>
      <c r="E15" s="2">
        <v>5.9</v>
      </c>
      <c r="F15" s="10">
        <v>4</v>
      </c>
      <c r="H15" s="17" t="s">
        <v>13</v>
      </c>
      <c r="I15" s="17">
        <v>12</v>
      </c>
      <c r="J15" s="17">
        <v>27033.306467255439</v>
      </c>
      <c r="K15" s="17">
        <v>2252.7755389379531</v>
      </c>
      <c r="L15" s="17"/>
      <c r="M15" s="17"/>
    </row>
    <row r="16" spans="3:16" ht="16.5" thickBot="1" x14ac:dyDescent="0.3">
      <c r="C16" s="9">
        <v>14</v>
      </c>
      <c r="D16" s="2">
        <v>450</v>
      </c>
      <c r="E16" s="2">
        <v>5</v>
      </c>
      <c r="F16" s="10">
        <v>3.5</v>
      </c>
      <c r="H16" s="18" t="s">
        <v>14</v>
      </c>
      <c r="I16" s="18">
        <v>14</v>
      </c>
      <c r="J16" s="18">
        <v>56493.333333333328</v>
      </c>
      <c r="K16" s="18"/>
      <c r="L16" s="18"/>
      <c r="M16" s="18"/>
    </row>
    <row r="17" spans="3:16" ht="16.5" thickBot="1" x14ac:dyDescent="0.3">
      <c r="C17" s="11">
        <v>15</v>
      </c>
      <c r="D17" s="12">
        <v>300</v>
      </c>
      <c r="E17" s="12">
        <v>7</v>
      </c>
      <c r="F17" s="13">
        <v>2.7</v>
      </c>
    </row>
    <row r="18" spans="3:16" x14ac:dyDescent="0.25">
      <c r="H18" s="19"/>
      <c r="I18" s="19" t="s">
        <v>21</v>
      </c>
      <c r="J18" s="19" t="s">
        <v>9</v>
      </c>
      <c r="K18" s="19" t="s">
        <v>22</v>
      </c>
      <c r="L18" s="19" t="s">
        <v>23</v>
      </c>
      <c r="M18" s="19" t="s">
        <v>24</v>
      </c>
      <c r="N18" s="19" t="s">
        <v>25</v>
      </c>
      <c r="O18" s="19" t="s">
        <v>26</v>
      </c>
      <c r="P18" s="19" t="s">
        <v>27</v>
      </c>
    </row>
    <row r="19" spans="3:16" x14ac:dyDescent="0.25">
      <c r="H19" s="17" t="s">
        <v>15</v>
      </c>
      <c r="I19" s="17">
        <v>306.52619328374368</v>
      </c>
      <c r="J19" s="17">
        <v>114.25389351049147</v>
      </c>
      <c r="K19" s="17">
        <v>2.6828511822714964</v>
      </c>
      <c r="L19" s="17">
        <v>1.9931590985369695E-2</v>
      </c>
      <c r="M19" s="17">
        <v>57.588344263651578</v>
      </c>
      <c r="N19" s="17">
        <v>555.46404230383575</v>
      </c>
      <c r="O19" s="17">
        <v>57.588344263651578</v>
      </c>
      <c r="P19" s="17">
        <v>555.46404230383575</v>
      </c>
    </row>
    <row r="20" spans="3:16" x14ac:dyDescent="0.25">
      <c r="H20" s="17" t="s">
        <v>2</v>
      </c>
      <c r="I20" s="17">
        <v>-24.975089517826945</v>
      </c>
      <c r="J20" s="17">
        <v>10.832125119411648</v>
      </c>
      <c r="K20" s="17">
        <v>-2.3056500218106306</v>
      </c>
      <c r="L20" s="17">
        <v>3.9788461178665177E-2</v>
      </c>
      <c r="M20" s="17">
        <v>-48.576262700561699</v>
      </c>
      <c r="N20" s="17">
        <v>-1.3739163350921864</v>
      </c>
      <c r="O20" s="17">
        <v>-48.576262700561699</v>
      </c>
      <c r="P20" s="17">
        <v>-1.3739163350921864</v>
      </c>
    </row>
    <row r="21" spans="3:16" ht="15.75" thickBot="1" x14ac:dyDescent="0.3">
      <c r="H21" s="18" t="s">
        <v>3</v>
      </c>
      <c r="I21" s="18">
        <v>74.130957488740961</v>
      </c>
      <c r="J21" s="18">
        <v>25.967317917939091</v>
      </c>
      <c r="K21" s="18">
        <v>2.854779139031868</v>
      </c>
      <c r="L21" s="18">
        <v>1.449362679645921E-2</v>
      </c>
      <c r="M21" s="18">
        <v>17.553032057087563</v>
      </c>
      <c r="N21" s="18">
        <v>130.70888292039436</v>
      </c>
      <c r="O21" s="18">
        <v>17.553032057087563</v>
      </c>
      <c r="P21" s="18">
        <v>130.70888292039436</v>
      </c>
    </row>
    <row r="25" spans="3:16" x14ac:dyDescent="0.25">
      <c r="H25" t="s">
        <v>38</v>
      </c>
      <c r="M25" t="s">
        <v>43</v>
      </c>
    </row>
    <row r="26" spans="3:16" ht="15.75" thickBot="1" x14ac:dyDescent="0.3"/>
    <row r="27" spans="3:16" x14ac:dyDescent="0.25">
      <c r="H27" s="19" t="s">
        <v>39</v>
      </c>
      <c r="I27" s="19" t="s">
        <v>40</v>
      </c>
      <c r="J27" s="19" t="s">
        <v>41</v>
      </c>
      <c r="K27" s="19" t="s">
        <v>42</v>
      </c>
      <c r="M27" s="19" t="s">
        <v>44</v>
      </c>
      <c r="N27" s="19" t="s">
        <v>1</v>
      </c>
    </row>
    <row r="28" spans="3:16" x14ac:dyDescent="0.25">
      <c r="H28" s="17">
        <v>1</v>
      </c>
      <c r="I28" s="17">
        <v>413.79536064854062</v>
      </c>
      <c r="J28" s="17">
        <v>-63.795360648540623</v>
      </c>
      <c r="K28" s="17">
        <v>-1.4517890980788057</v>
      </c>
      <c r="M28" s="17">
        <v>3.3333333333333335</v>
      </c>
      <c r="N28" s="17">
        <v>300</v>
      </c>
    </row>
    <row r="29" spans="3:16" x14ac:dyDescent="0.25">
      <c r="H29" s="17">
        <v>2</v>
      </c>
      <c r="I29" s="17">
        <v>363.84518161288679</v>
      </c>
      <c r="J29" s="17">
        <v>96.15481838711321</v>
      </c>
      <c r="K29" s="17">
        <v>2.1881923018073235</v>
      </c>
      <c r="M29" s="17">
        <v>10</v>
      </c>
      <c r="N29" s="17">
        <v>300</v>
      </c>
    </row>
    <row r="30" spans="3:16" x14ac:dyDescent="0.25">
      <c r="H30" s="17">
        <v>3</v>
      </c>
      <c r="I30" s="17">
        <v>329.11834960735098</v>
      </c>
      <c r="J30" s="17">
        <v>20.881650392649021</v>
      </c>
      <c r="K30" s="17">
        <v>0.47520308815174572</v>
      </c>
      <c r="M30" s="17">
        <v>16.666666666666668</v>
      </c>
      <c r="N30" s="17">
        <v>340</v>
      </c>
    </row>
    <row r="31" spans="3:16" x14ac:dyDescent="0.25">
      <c r="H31" s="17">
        <v>4</v>
      </c>
      <c r="I31" s="17">
        <v>440.31478584046243</v>
      </c>
      <c r="J31" s="17">
        <v>-10.314785840462434</v>
      </c>
      <c r="K31" s="17">
        <v>-0.23473327025612728</v>
      </c>
      <c r="M31" s="17">
        <v>23.333333333333332</v>
      </c>
      <c r="N31" s="17">
        <v>350</v>
      </c>
    </row>
    <row r="32" spans="3:16" x14ac:dyDescent="0.25">
      <c r="H32" s="17">
        <v>5</v>
      </c>
      <c r="I32" s="17">
        <v>359.08845702874333</v>
      </c>
      <c r="J32" s="17">
        <v>-9.0884570287433348</v>
      </c>
      <c r="K32" s="17">
        <v>-0.20682574247644925</v>
      </c>
      <c r="M32" s="17">
        <v>30</v>
      </c>
      <c r="N32" s="17">
        <v>350</v>
      </c>
    </row>
    <row r="33" spans="8:14" x14ac:dyDescent="0.25">
      <c r="H33" s="17">
        <v>6</v>
      </c>
      <c r="I33" s="17">
        <v>415.73685185500545</v>
      </c>
      <c r="J33" s="17">
        <v>-35.736851855005455</v>
      </c>
      <c r="K33" s="17">
        <v>-0.81326245976698808</v>
      </c>
      <c r="M33" s="17">
        <v>36.666666666666671</v>
      </c>
      <c r="N33" s="17">
        <v>350</v>
      </c>
    </row>
    <row r="34" spans="8:14" x14ac:dyDescent="0.25">
      <c r="H34" s="17">
        <v>7</v>
      </c>
      <c r="I34" s="17">
        <v>416.53116291974527</v>
      </c>
      <c r="J34" s="17">
        <v>13.46883708025473</v>
      </c>
      <c r="K34" s="17">
        <v>0.30650991918737119</v>
      </c>
      <c r="M34" s="17">
        <v>43.333333333333336</v>
      </c>
      <c r="N34" s="17">
        <v>380</v>
      </c>
    </row>
    <row r="35" spans="8:14" x14ac:dyDescent="0.25">
      <c r="H35" s="17">
        <v>8</v>
      </c>
      <c r="I35" s="17">
        <v>420.97016307799277</v>
      </c>
      <c r="J35" s="17">
        <v>49.029836922007235</v>
      </c>
      <c r="K35" s="17">
        <v>1.1157705199928223</v>
      </c>
      <c r="M35" s="17">
        <v>50.000000000000007</v>
      </c>
      <c r="N35" s="17">
        <v>430</v>
      </c>
    </row>
    <row r="36" spans="8:14" x14ac:dyDescent="0.25">
      <c r="H36" s="17">
        <v>9</v>
      </c>
      <c r="I36" s="17">
        <v>391.15891786954842</v>
      </c>
      <c r="J36" s="17">
        <v>58.841082130451582</v>
      </c>
      <c r="K36" s="17">
        <v>1.3390447312739411</v>
      </c>
      <c r="M36" s="17">
        <v>56.666666666666671</v>
      </c>
      <c r="N36" s="17">
        <v>430</v>
      </c>
    </row>
    <row r="37" spans="8:14" x14ac:dyDescent="0.25">
      <c r="H37" s="17">
        <v>10</v>
      </c>
      <c r="I37" s="17">
        <v>478.17457564957283</v>
      </c>
      <c r="J37" s="17">
        <v>11.82542435042717</v>
      </c>
      <c r="K37" s="17">
        <v>0.26911082526341262</v>
      </c>
      <c r="M37" s="17">
        <v>63.333333333333336</v>
      </c>
      <c r="N37" s="17">
        <v>440</v>
      </c>
    </row>
    <row r="38" spans="8:14" x14ac:dyDescent="0.25">
      <c r="H38" s="17">
        <v>11</v>
      </c>
      <c r="I38" s="17">
        <v>386.16389996598309</v>
      </c>
      <c r="J38" s="17">
        <v>-46.163899965983092</v>
      </c>
      <c r="K38" s="17">
        <v>-1.0505504791271676</v>
      </c>
      <c r="M38" s="17">
        <v>70</v>
      </c>
      <c r="N38" s="17">
        <v>450</v>
      </c>
    </row>
    <row r="39" spans="8:14" x14ac:dyDescent="0.25">
      <c r="H39" s="17">
        <v>12</v>
      </c>
      <c r="I39" s="17">
        <v>346.4420500568819</v>
      </c>
      <c r="J39" s="17">
        <v>-46.442050056881897</v>
      </c>
      <c r="K39" s="17">
        <v>-1.0568803323561695</v>
      </c>
      <c r="M39" s="17">
        <v>76.666666666666671</v>
      </c>
      <c r="N39" s="17">
        <v>450</v>
      </c>
    </row>
    <row r="40" spans="8:14" x14ac:dyDescent="0.25">
      <c r="H40" s="17">
        <v>13</v>
      </c>
      <c r="I40" s="17">
        <v>455.69699508352858</v>
      </c>
      <c r="J40" s="17">
        <v>-15.696995083528577</v>
      </c>
      <c r="K40" s="17">
        <v>-0.35721604366201998</v>
      </c>
      <c r="M40" s="17">
        <v>83.333333333333329</v>
      </c>
      <c r="N40" s="17">
        <v>460</v>
      </c>
    </row>
    <row r="41" spans="8:14" x14ac:dyDescent="0.25">
      <c r="H41" s="17">
        <v>14</v>
      </c>
      <c r="I41" s="17">
        <v>441.10909690520236</v>
      </c>
      <c r="J41" s="17">
        <v>8.8909030947976362</v>
      </c>
      <c r="K41" s="17">
        <v>0.20233001356028227</v>
      </c>
      <c r="M41" s="17">
        <v>90</v>
      </c>
      <c r="N41" s="17">
        <v>470</v>
      </c>
    </row>
    <row r="42" spans="8:14" ht="15.75" thickBot="1" x14ac:dyDescent="0.3">
      <c r="H42" s="18">
        <v>15</v>
      </c>
      <c r="I42" s="18">
        <v>331.85415187855568</v>
      </c>
      <c r="J42" s="18">
        <v>-31.854151878555683</v>
      </c>
      <c r="K42" s="18">
        <v>-0.72490397351318303</v>
      </c>
      <c r="M42" s="18">
        <v>96.666666666666671</v>
      </c>
      <c r="N42" s="18">
        <v>490</v>
      </c>
    </row>
  </sheetData>
  <sortState xmlns:xlrd2="http://schemas.microsoft.com/office/spreadsheetml/2017/richdata2" ref="N28:N42">
    <sortCondition ref="N28"/>
  </sortState>
  <mergeCells count="1">
    <mergeCell ref="H1:K1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400F7-C9C2-4928-B6F5-E175ABB28C43}">
  <dimension ref="A1"/>
  <sheetViews>
    <sheetView tabSelected="1" workbookViewId="0">
      <selection activeCell="O29" sqref="O29"/>
    </sheetView>
  </sheetViews>
  <sheetFormatPr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6235226-DD58-447A-B63D-16E9BC10A65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41</vt:i4>
      </vt:variant>
    </vt:vector>
  </HeadingPairs>
  <TitlesOfParts>
    <vt:vector size="47" baseType="lpstr">
      <vt:lpstr>Multiple Linear Regression_1</vt:lpstr>
      <vt:lpstr>Multiple Linear Regression_ 2</vt:lpstr>
      <vt:lpstr>Multiple Linear Regression_ 3</vt:lpstr>
      <vt:lpstr>Multiple Linear Regression_ 4</vt:lpstr>
      <vt:lpstr>Multiple Linear Regression_ 5_1</vt:lpstr>
      <vt:lpstr>Multiple Linear Regression_ 5_2</vt:lpstr>
      <vt:lpstr>B_2</vt:lpstr>
      <vt:lpstr>MSE</vt:lpstr>
      <vt:lpstr>'Multiple Linear Regression_ 4'!MSE_</vt:lpstr>
      <vt:lpstr>MSE_</vt:lpstr>
      <vt:lpstr>MSR</vt:lpstr>
      <vt:lpstr>'Multiple Linear Regression_ 2'!R_Square</vt:lpstr>
      <vt:lpstr>'Multiple Linear Regression_ 3'!R_Square</vt:lpstr>
      <vt:lpstr>'Multiple Linear Regression_ 4'!R_Square</vt:lpstr>
      <vt:lpstr>'Multiple Linear Regression_ 5_1'!R_Square</vt:lpstr>
      <vt:lpstr>R_Square</vt:lpstr>
      <vt:lpstr>S_b_2</vt:lpstr>
      <vt:lpstr>'Multiple Linear Regression_ 2'!SSE</vt:lpstr>
      <vt:lpstr>'Multiple Linear Regression_ 3'!SSE</vt:lpstr>
      <vt:lpstr>'Multiple Linear Regression_ 4'!SSE</vt:lpstr>
      <vt:lpstr>'Multiple Linear Regression_ 5_1'!SSE</vt:lpstr>
      <vt:lpstr>SSE</vt:lpstr>
      <vt:lpstr>'Multiple Linear Regression_ 2'!SSR</vt:lpstr>
      <vt:lpstr>'Multiple Linear Regression_ 3'!SSR</vt:lpstr>
      <vt:lpstr>'Multiple Linear Regression_ 4'!SSR</vt:lpstr>
      <vt:lpstr>'Multiple Linear Regression_ 5_1'!SSR</vt:lpstr>
      <vt:lpstr>SSR</vt:lpstr>
      <vt:lpstr>'Multiple Linear Regression_ 4'!SSR_</vt:lpstr>
      <vt:lpstr>SSR_</vt:lpstr>
      <vt:lpstr>SSR_Advertising</vt:lpstr>
      <vt:lpstr>'Multiple Linear Regression_ 4'!SSR_g</vt:lpstr>
      <vt:lpstr>SSR_g</vt:lpstr>
      <vt:lpstr>'Multiple Linear Regression_ 4'!SSR_Ge</vt:lpstr>
      <vt:lpstr>SSR_Ge</vt:lpstr>
      <vt:lpstr>'Multiple Linear Regression_ 4'!SSR_General</vt:lpstr>
      <vt:lpstr>SSR_General</vt:lpstr>
      <vt:lpstr>SSR_Price</vt:lpstr>
      <vt:lpstr>'Multiple Linear Regression_ 4'!SSRGeneral</vt:lpstr>
      <vt:lpstr>SSRGeneral</vt:lpstr>
      <vt:lpstr>'Multiple Linear Regression_ 2'!SST</vt:lpstr>
      <vt:lpstr>'Multiple Linear Regression_ 3'!SST</vt:lpstr>
      <vt:lpstr>'Multiple Linear Regression_ 4'!SST</vt:lpstr>
      <vt:lpstr>'Multiple Linear Regression_ 5_1'!SST</vt:lpstr>
      <vt:lpstr>SST</vt:lpstr>
      <vt:lpstr>Stand_Err_B_2</vt:lpstr>
      <vt:lpstr>Standard_Error</vt:lpstr>
      <vt:lpstr>t_alfa_2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2025-09-02T12:29:51Z</dcterms:created>
  <dcterms:modified xsi:type="dcterms:W3CDTF">2025-09-03T19:02:53Z</dcterms:modified>
</cp:coreProperties>
</file>
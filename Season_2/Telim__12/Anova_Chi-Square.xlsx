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Handex Excel\Statistics\Season_2\Telim_12\"/>
    </mc:Choice>
  </mc:AlternateContent>
  <xr:revisionPtr revIDLastSave="0" documentId="13_ncr:1_{BD1E35F5-6C24-4628-AFD2-AE0EBE34FBDD}" xr6:coauthVersionLast="45" xr6:coauthVersionMax="45" xr10:uidLastSave="{00000000-0000-0000-0000-000000000000}"/>
  <bookViews>
    <workbookView xWindow="-120" yWindow="-120" windowWidth="20730" windowHeight="11160" activeTab="4" xr2:uid="{FC76C2A3-24E0-4F30-8E87-134E6DB0E355}"/>
  </bookViews>
  <sheets>
    <sheet name="Anova test" sheetId="1" r:id="rId1"/>
    <sheet name="Chi-square test_1" sheetId="3" r:id="rId2"/>
    <sheet name="Chi-square test_2" sheetId="2" r:id="rId3"/>
    <sheet name="Chi-square test_3" sheetId="4" r:id="rId4"/>
    <sheet name="Chi-square test_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2" l="1"/>
  <c r="R7" i="2"/>
  <c r="R6" i="2"/>
  <c r="Q6" i="2"/>
  <c r="Q7" i="3"/>
  <c r="R7" i="3"/>
  <c r="R6" i="3"/>
  <c r="Q6" i="3"/>
  <c r="Q7" i="4"/>
  <c r="R7" i="4"/>
  <c r="S7" i="4"/>
  <c r="R6" i="4"/>
  <c r="S6" i="4"/>
  <c r="Q6" i="4"/>
  <c r="L16" i="5"/>
  <c r="P10" i="5"/>
  <c r="R11" i="5"/>
  <c r="Q10" i="5"/>
  <c r="Q8" i="5"/>
  <c r="P9" i="5"/>
  <c r="Q9" i="5"/>
  <c r="R9" i="5"/>
  <c r="R10" i="5"/>
  <c r="P11" i="5"/>
  <c r="Q11" i="5"/>
  <c r="R8" i="5"/>
  <c r="P8" i="5"/>
  <c r="M10" i="5"/>
  <c r="L12" i="5"/>
  <c r="K12" i="5"/>
  <c r="J12" i="5"/>
  <c r="M11" i="5"/>
  <c r="M9" i="5"/>
  <c r="M8" i="5"/>
  <c r="F20" i="5"/>
  <c r="E20" i="5"/>
  <c r="D20" i="5"/>
  <c r="C20" i="5"/>
  <c r="F19" i="5"/>
  <c r="F18" i="5"/>
  <c r="F17" i="5"/>
  <c r="F16" i="5"/>
  <c r="N12" i="4"/>
  <c r="M8" i="4"/>
  <c r="L8" i="4"/>
  <c r="K8" i="4"/>
  <c r="N7" i="4"/>
  <c r="N6" i="4"/>
  <c r="N8" i="4" s="1"/>
  <c r="G15" i="4"/>
  <c r="F15" i="4"/>
  <c r="E15" i="4"/>
  <c r="D15" i="4"/>
  <c r="G14" i="4"/>
  <c r="G13" i="4"/>
  <c r="M12" i="5" l="1"/>
  <c r="K8" i="3"/>
  <c r="J8" i="3"/>
  <c r="L7" i="3"/>
  <c r="L6" i="3"/>
  <c r="L8" i="3" s="1"/>
  <c r="E16" i="3"/>
  <c r="D16" i="3"/>
  <c r="F15" i="3"/>
  <c r="F14" i="3"/>
  <c r="F16" i="3" s="1"/>
  <c r="F17" i="2"/>
  <c r="O19" i="2"/>
  <c r="R11" i="2"/>
  <c r="O17" i="2" s="1"/>
  <c r="Q14" i="2"/>
  <c r="L8" i="2"/>
  <c r="K8" i="2"/>
  <c r="M7" i="2"/>
  <c r="M6" i="2"/>
  <c r="F16" i="2"/>
  <c r="E18" i="2"/>
  <c r="D18" i="2"/>
  <c r="M12" i="3" l="1"/>
  <c r="F18" i="2"/>
  <c r="M8" i="2"/>
  <c r="J12" i="2" s="1"/>
  <c r="K12" i="2" l="1"/>
  <c r="K11" i="2"/>
  <c r="J11" i="2" l="1"/>
  <c r="J13" i="2" s="1"/>
  <c r="M17" i="2" s="1"/>
  <c r="O20" i="2"/>
</calcChain>
</file>

<file path=xl/sharedStrings.xml><?xml version="1.0" encoding="utf-8"?>
<sst xmlns="http://schemas.openxmlformats.org/spreadsheetml/2006/main" count="169" uniqueCount="62">
  <si>
    <t>Club 1</t>
  </si>
  <si>
    <t>Club 2</t>
  </si>
  <si>
    <t>Club 3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</si>
  <si>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</si>
  <si>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</si>
  <si>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</si>
  <si>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</si>
  <si>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</si>
  <si>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</si>
  <si>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</si>
  <si>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</si>
  <si>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</si>
  <si>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</si>
  <si>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</si>
  <si>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</si>
  <si>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</si>
  <si>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</si>
  <si>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</si>
  <si>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</si>
  <si>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</si>
  <si>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</si>
  <si>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alfa=</t>
  </si>
  <si>
    <t>Gender</t>
  </si>
  <si>
    <t>Hand Preference</t>
  </si>
  <si>
    <t>Lefr</t>
  </si>
  <si>
    <t>Right</t>
  </si>
  <si>
    <t>Male</t>
  </si>
  <si>
    <t>Female</t>
  </si>
  <si>
    <t>Contingency table</t>
  </si>
  <si>
    <t>Expected table</t>
  </si>
  <si>
    <t>(C-E)^2/E</t>
  </si>
  <si>
    <t>df=</t>
  </si>
  <si>
    <t>Chi^2_stat=</t>
  </si>
  <si>
    <t>1 st method</t>
  </si>
  <si>
    <t>Chi^2_alfa=</t>
  </si>
  <si>
    <t>Don't Reject H0</t>
  </si>
  <si>
    <t>&lt;</t>
  </si>
  <si>
    <t>2 nd method</t>
  </si>
  <si>
    <t>p-value</t>
  </si>
  <si>
    <t>alfa</t>
  </si>
  <si>
    <t>P(Chi_stat)*2</t>
  </si>
  <si>
    <t>from Chi table</t>
  </si>
  <si>
    <t>Chi-square test</t>
  </si>
  <si>
    <t>P value</t>
  </si>
  <si>
    <t>Chi^2_stat</t>
  </si>
  <si>
    <t>&gt;    0.05</t>
  </si>
  <si>
    <t>Favor</t>
  </si>
  <si>
    <t>Oppose</t>
  </si>
  <si>
    <t>Admin</t>
  </si>
  <si>
    <t>Students</t>
  </si>
  <si>
    <t>Faculty</t>
  </si>
  <si>
    <t>&lt;    0.05</t>
  </si>
  <si>
    <t>Reject H0</t>
  </si>
  <si>
    <t>Class Standing</t>
  </si>
  <si>
    <t>Number of meals per week</t>
  </si>
  <si>
    <t>20/week</t>
  </si>
  <si>
    <t>10/week</t>
  </si>
  <si>
    <t>none</t>
  </si>
  <si>
    <t>Sohp.</t>
  </si>
  <si>
    <t>Fresh.</t>
  </si>
  <si>
    <t>Senior</t>
  </si>
  <si>
    <t>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</si>
</sst>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0"/>
    <numFmt numFmtId="167" formatCode="0.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center"/>
    </xf>
    <xf numFmtId="2" fontId="0" fillId="0" borderId="0" xfId="0" applyNumberFormat="1"/>
    <xf numFmtId="0" fontId="0" fillId="2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67" fontId="0" fillId="5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17" xfId="0" applyBorder="1" applyAlignment="1">
      <alignment horizontal="center"/>
    </xf>
    <xf numFmtId="0" fontId="0" fillId="0" borderId="5" xfId="0" applyBorder="1"/>
    <xf numFmtId="164" fontId="0" fillId="9" borderId="5" xfId="0" applyNumberFormat="1" applyFill="1" applyBorder="1" applyAlignment="1">
      <alignment horizontal="left"/>
    </xf>
    <xf numFmtId="0" fontId="1" fillId="2" borderId="0" xfId="0" applyFont="1" applyFill="1" applyAlignment="1">
      <alignment horizontal="right"/>
    </xf>
    <xf numFmtId="2" fontId="6" fillId="9" borderId="5" xfId="0" applyNumberFormat="1" applyFont="1" applyFill="1" applyBorder="1" applyAlignment="1">
      <alignment horizontal="center"/>
    </xf>
    <xf numFmtId="0" fontId="0" fillId="0" borderId="5" xfId="0" applyBorder="1" applyAlignment="1">
      <alignment vertical="center"/>
    </xf>
    <xf numFmtId="0" fontId="0" fillId="3" borderId="5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165" fontId="0" fillId="9" borderId="5" xfId="0" applyNumberFormat="1" applyFill="1" applyBorder="1" applyAlignment="1">
      <alignment horizontal="right"/>
    </xf>
    <xf numFmtId="0" fontId="0" fillId="0" borderId="0" xfId="0" applyBorder="1" applyAlignment="1">
      <alignment vertical="center"/>
    </xf>
    <xf numFmtId="0" fontId="0" fillId="9" borderId="0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10" borderId="6" xfId="0" applyFill="1" applyBorder="1" applyAlignment="1">
      <alignment horizontal="center"/>
    </xf>
    <xf numFmtId="0" fontId="0" fillId="10" borderId="19" xfId="0" applyFill="1" applyBorder="1" applyAlignment="1">
      <alignment horizontal="center"/>
    </xf>
    <xf numFmtId="165" fontId="5" fillId="3" borderId="16" xfId="0" applyNumberFormat="1" applyFont="1" applyFill="1" applyBorder="1" applyAlignment="1">
      <alignment horizontal="center"/>
    </xf>
    <xf numFmtId="165" fontId="5" fillId="3" borderId="1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8" borderId="21" xfId="0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12" borderId="26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24" xfId="0" applyFont="1" applyBorder="1" applyAlignment="1">
      <alignment horizontal="center" wrapText="1"/>
    </xf>
    <xf numFmtId="0" fontId="1" fillId="0" borderId="2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6" xfId="0" applyFont="1" applyBorder="1" applyAlignment="1">
      <alignment horizontal="center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11" borderId="29" xfId="0" applyFont="1" applyFill="1" applyBorder="1" applyAlignment="1">
      <alignment horizontal="center" vertical="center"/>
    </xf>
    <xf numFmtId="0" fontId="1" fillId="11" borderId="32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/>
    </xf>
    <xf numFmtId="0" fontId="0" fillId="11" borderId="1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104775</xdr:rowOff>
    </xdr:from>
    <xdr:to>
      <xdr:col>7</xdr:col>
      <xdr:colOff>466069</xdr:colOff>
      <xdr:row>11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777064-CD34-4602-A8C1-A5AFAD49B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04775"/>
          <a:ext cx="4609444" cy="220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458667</xdr:colOff>
      <xdr:row>9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FD0DB1-FC34-4DEB-AB28-CE7E9686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16267" cy="187642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123825</xdr:rowOff>
    </xdr:from>
    <xdr:to>
      <xdr:col>15</xdr:col>
      <xdr:colOff>8351</xdr:colOff>
      <xdr:row>6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7991E-D2E6-4971-A6E8-7190AC492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962025"/>
          <a:ext cx="1837151" cy="419100"/>
        </a:xfrm>
        <a:prstGeom prst="rect">
          <a:avLst/>
        </a:prstGeom>
      </xdr:spPr>
    </xdr:pic>
    <xdr:clientData/>
  </xdr:twoCellAnchor>
  <xdr:twoCellAnchor>
    <xdr:from>
      <xdr:col>11</xdr:col>
      <xdr:colOff>447675</xdr:colOff>
      <xdr:row>12</xdr:row>
      <xdr:rowOff>38100</xdr:rowOff>
    </xdr:from>
    <xdr:to>
      <xdr:col>14</xdr:col>
      <xdr:colOff>180975</xdr:colOff>
      <xdr:row>13</xdr:row>
      <xdr:rowOff>47625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C1547012-0D77-4C62-98F6-51D59EA591B8}"/>
            </a:ext>
          </a:extLst>
        </xdr:cNvPr>
        <xdr:cNvSpPr txBox="1">
          <a:spLocks noChangeArrowheads="1"/>
        </xdr:cNvSpPr>
      </xdr:nvSpPr>
      <xdr:spPr bwMode="auto">
        <a:xfrm>
          <a:off x="7153275" y="2457450"/>
          <a:ext cx="1562100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=CHISQ.TEST(J6:K7, Q6:R7)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95250</xdr:rowOff>
    </xdr:from>
    <xdr:to>
      <xdr:col>6</xdr:col>
      <xdr:colOff>563442</xdr:colOff>
      <xdr:row>9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F40124-232E-4D10-9BF4-87D53639B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95250"/>
          <a:ext cx="4116267" cy="1876425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9</xdr:row>
      <xdr:rowOff>9525</xdr:rowOff>
    </xdr:from>
    <xdr:to>
      <xdr:col>14</xdr:col>
      <xdr:colOff>602273</xdr:colOff>
      <xdr:row>12</xdr:row>
      <xdr:rowOff>161693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194917-855F-4C6E-87C2-AEB8AA3CB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0" y="1790700"/>
          <a:ext cx="2697773" cy="73319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12</xdr:row>
      <xdr:rowOff>180975</xdr:rowOff>
    </xdr:from>
    <xdr:to>
      <xdr:col>15</xdr:col>
      <xdr:colOff>314325</xdr:colOff>
      <xdr:row>14</xdr:row>
      <xdr:rowOff>5621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C94FFA-74FD-4455-BD96-11604F447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19925" y="2600325"/>
          <a:ext cx="2533650" cy="224696"/>
        </a:xfrm>
        <a:prstGeom prst="rect">
          <a:avLst/>
        </a:prstGeom>
      </xdr:spPr>
    </xdr:pic>
    <xdr:clientData/>
  </xdr:twoCellAnchor>
  <xdr:twoCellAnchor>
    <xdr:from>
      <xdr:col>16</xdr:col>
      <xdr:colOff>9525</xdr:colOff>
      <xdr:row>11</xdr:row>
      <xdr:rowOff>38099</xdr:rowOff>
    </xdr:from>
    <xdr:to>
      <xdr:col>18</xdr:col>
      <xdr:colOff>9525</xdr:colOff>
      <xdr:row>12</xdr:row>
      <xdr:rowOff>47624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2429C7E9-DD06-4983-8169-C179320A8AF5}"/>
            </a:ext>
          </a:extLst>
        </xdr:cNvPr>
        <xdr:cNvSpPr txBox="1">
          <a:spLocks noChangeArrowheads="1"/>
        </xdr:cNvSpPr>
      </xdr:nvSpPr>
      <xdr:spPr bwMode="auto">
        <a:xfrm>
          <a:off x="9801225" y="2266949"/>
          <a:ext cx="135255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=CHISQ.INV.RT(0.05, 1)</a:t>
          </a:r>
        </a:p>
      </xdr:txBody>
    </xdr:sp>
    <xdr:clientData/>
  </xdr:twoCellAnchor>
  <xdr:twoCellAnchor>
    <xdr:from>
      <xdr:col>14</xdr:col>
      <xdr:colOff>609599</xdr:colOff>
      <xdr:row>14</xdr:row>
      <xdr:rowOff>19050</xdr:rowOff>
    </xdr:from>
    <xdr:to>
      <xdr:col>18</xdr:col>
      <xdr:colOff>352425</xdr:colOff>
      <xdr:row>15</xdr:row>
      <xdr:rowOff>28575</xdr:rowOff>
    </xdr:to>
    <xdr:sp macro="" textlink="">
      <xdr:nvSpPr>
        <xdr:cNvPr id="2050" name="Text Box 2">
          <a:extLst>
            <a:ext uri="{FF2B5EF4-FFF2-40B4-BE49-F238E27FC236}">
              <a16:creationId xmlns:a16="http://schemas.microsoft.com/office/drawing/2014/main" id="{EA5E38BB-B53F-40A7-8DB5-B27F8FFE3AB1}"/>
            </a:ext>
          </a:extLst>
        </xdr:cNvPr>
        <xdr:cNvSpPr txBox="1">
          <a:spLocks noChangeArrowheads="1"/>
        </xdr:cNvSpPr>
      </xdr:nvSpPr>
      <xdr:spPr bwMode="auto">
        <a:xfrm>
          <a:off x="9182099" y="2838450"/>
          <a:ext cx="2314576" cy="2095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=(COUNT(K6:K7) -1) * (COUNT(K6:L6)-1)</a:t>
          </a:r>
        </a:p>
      </xdr:txBody>
    </xdr:sp>
    <xdr:clientData/>
  </xdr:twoCellAnchor>
  <xdr:twoCellAnchor>
    <xdr:from>
      <xdr:col>11</xdr:col>
      <xdr:colOff>590549</xdr:colOff>
      <xdr:row>18</xdr:row>
      <xdr:rowOff>0</xdr:rowOff>
    </xdr:from>
    <xdr:to>
      <xdr:col>14</xdr:col>
      <xdr:colOff>9524</xdr:colOff>
      <xdr:row>19</xdr:row>
      <xdr:rowOff>9525</xdr:rowOff>
    </xdr:to>
    <xdr:sp macro="" textlink="">
      <xdr:nvSpPr>
        <xdr:cNvPr id="2051" name="Text Box 3">
          <a:extLst>
            <a:ext uri="{FF2B5EF4-FFF2-40B4-BE49-F238E27FC236}">
              <a16:creationId xmlns:a16="http://schemas.microsoft.com/office/drawing/2014/main" id="{ED7A6ED4-67B9-44B4-A703-71A63EDD6CE1}"/>
            </a:ext>
          </a:extLst>
        </xdr:cNvPr>
        <xdr:cNvSpPr txBox="1">
          <a:spLocks noChangeArrowheads="1"/>
        </xdr:cNvSpPr>
      </xdr:nvSpPr>
      <xdr:spPr bwMode="auto">
        <a:xfrm>
          <a:off x="7029449" y="3571875"/>
          <a:ext cx="155257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=CHISQ.DIST.RT(0.7576, 1)</a:t>
          </a:r>
        </a:p>
      </xdr:txBody>
    </xdr:sp>
    <xdr:clientData/>
  </xdr:twoCellAnchor>
  <xdr:twoCellAnchor>
    <xdr:from>
      <xdr:col>11</xdr:col>
      <xdr:colOff>590550</xdr:colOff>
      <xdr:row>19</xdr:row>
      <xdr:rowOff>38100</xdr:rowOff>
    </xdr:from>
    <xdr:to>
      <xdr:col>14</xdr:col>
      <xdr:colOff>38100</xdr:colOff>
      <xdr:row>20</xdr:row>
      <xdr:rowOff>38100</xdr:rowOff>
    </xdr:to>
    <xdr:sp macro="" textlink="">
      <xdr:nvSpPr>
        <xdr:cNvPr id="2052" name="Text Box 4">
          <a:extLst>
            <a:ext uri="{FF2B5EF4-FFF2-40B4-BE49-F238E27FC236}">
              <a16:creationId xmlns:a16="http://schemas.microsoft.com/office/drawing/2014/main" id="{099BC9B0-AE44-4BC7-91E6-17686F12D4AB}"/>
            </a:ext>
          </a:extLst>
        </xdr:cNvPr>
        <xdr:cNvSpPr txBox="1">
          <a:spLocks noChangeArrowheads="1"/>
        </xdr:cNvSpPr>
      </xdr:nvSpPr>
      <xdr:spPr bwMode="auto">
        <a:xfrm>
          <a:off x="7029450" y="3800475"/>
          <a:ext cx="158115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=CHISQ.TEST(K6:L7, P6:Q7)</a:t>
          </a:r>
        </a:p>
      </xdr:txBody>
    </xdr:sp>
    <xdr:clientData/>
  </xdr:twoCellAnchor>
  <xdr:twoCellAnchor editAs="oneCell">
    <xdr:from>
      <xdr:col>13</xdr:col>
      <xdr:colOff>0</xdr:colOff>
      <xdr:row>4</xdr:row>
      <xdr:rowOff>114301</xdr:rowOff>
    </xdr:from>
    <xdr:to>
      <xdr:col>15</xdr:col>
      <xdr:colOff>13178</xdr:colOff>
      <xdr:row>6</xdr:row>
      <xdr:rowOff>77957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9D93DB5-EA60-4B34-8FD0-E0377B28C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58100" y="952501"/>
          <a:ext cx="1594328" cy="3637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546846</xdr:colOff>
      <xdr:row>8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6426D9-6F85-4856-BEB4-1905844B0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23646" cy="1676400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209550</xdr:colOff>
      <xdr:row>1</xdr:row>
      <xdr:rowOff>142875</xdr:rowOff>
    </xdr:from>
    <xdr:to>
      <xdr:col>16</xdr:col>
      <xdr:colOff>217901</xdr:colOff>
      <xdr:row>3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E95353-0395-43DA-8A0A-3FCB5C723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34350" y="333375"/>
          <a:ext cx="1837151" cy="419100"/>
        </a:xfrm>
        <a:prstGeom prst="rect">
          <a:avLst/>
        </a:prstGeom>
      </xdr:spPr>
    </xdr:pic>
    <xdr:clientData/>
  </xdr:twoCellAnchor>
  <xdr:twoCellAnchor>
    <xdr:from>
      <xdr:col>12</xdr:col>
      <xdr:colOff>457200</xdr:colOff>
      <xdr:row>12</xdr:row>
      <xdr:rowOff>47625</xdr:rowOff>
    </xdr:from>
    <xdr:to>
      <xdr:col>15</xdr:col>
      <xdr:colOff>266700</xdr:colOff>
      <xdr:row>13</xdr:row>
      <xdr:rowOff>85725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4C3CB0F1-6C61-450C-BA4E-D3C265F99D89}"/>
            </a:ext>
          </a:extLst>
        </xdr:cNvPr>
        <xdr:cNvSpPr txBox="1">
          <a:spLocks noChangeArrowheads="1"/>
        </xdr:cNvSpPr>
      </xdr:nvSpPr>
      <xdr:spPr bwMode="auto">
        <a:xfrm>
          <a:off x="7772400" y="2438400"/>
          <a:ext cx="1638300" cy="2286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=CHISQ.TEST(K6:M7, Q6:S7)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28575</xdr:rowOff>
    </xdr:from>
    <xdr:to>
      <xdr:col>6</xdr:col>
      <xdr:colOff>466725</xdr:colOff>
      <xdr:row>11</xdr:row>
      <xdr:rowOff>101304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DBF6E6-9310-468D-87A5-A6EBB1022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28575"/>
          <a:ext cx="3990975" cy="224442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123825</xdr:rowOff>
    </xdr:from>
    <xdr:to>
      <xdr:col>15</xdr:col>
      <xdr:colOff>8351</xdr:colOff>
      <xdr:row>4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CF6C5-AB35-45D2-861E-BE3E65A34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561975"/>
          <a:ext cx="1837151" cy="419100"/>
        </a:xfrm>
        <a:prstGeom prst="rect">
          <a:avLst/>
        </a:prstGeom>
      </xdr:spPr>
    </xdr:pic>
    <xdr:clientData/>
  </xdr:twoCellAnchor>
  <xdr:twoCellAnchor>
    <xdr:from>
      <xdr:col>10</xdr:col>
      <xdr:colOff>428625</xdr:colOff>
      <xdr:row>16</xdr:row>
      <xdr:rowOff>47625</xdr:rowOff>
    </xdr:from>
    <xdr:to>
      <xdr:col>13</xdr:col>
      <xdr:colOff>266700</xdr:colOff>
      <xdr:row>17</xdr:row>
      <xdr:rowOff>76200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EB1173DE-986E-4F6A-8C9D-8A924574D678}"/>
            </a:ext>
          </a:extLst>
        </xdr:cNvPr>
        <xdr:cNvSpPr txBox="1">
          <a:spLocks noChangeArrowheads="1"/>
        </xdr:cNvSpPr>
      </xdr:nvSpPr>
      <xdr:spPr bwMode="auto">
        <a:xfrm>
          <a:off x="6524625" y="3209925"/>
          <a:ext cx="1666875" cy="2190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=CHISQ.TEST(J8:L11, P8:R11)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5B9F-6196-4314-8A3B-9338F8445532}">
  <dimension ref="E1:P20"/>
  <sheetViews>
    <sheetView workbookViewId="0">
      <selection activeCell="J1" sqref="J1:M1"/>
    </sheetView>
  </sheetViews>
  <sheetFormatPr defaultRowHeight="15" x14ac:dyDescent="0.25"/>
  <cols>
    <col min="10" max="10" width="19.140625" bestFit="1" customWidth="1"/>
    <col min="11" max="11" width="7" bestFit="1" customWidth="1"/>
    <col min="12" max="12" width="5.42578125" bestFit="1" customWidth="1"/>
    <col min="13" max="13" width="8.85546875" bestFit="1" customWidth="1"/>
    <col min="14" max="14" width="13.85546875" customWidth="1"/>
    <col min="15" max="15" width="11.7109375" style="10" customWidth="1"/>
    <col min="16" max="16" width="12.85546875" customWidth="1"/>
  </cols>
  <sheetData>
    <row r="1" spans="5:16" ht="19.5" thickBot="1" x14ac:dyDescent="0.35">
      <c r="J1" s="49" t="s">
        <v>3</v>
      </c>
      <c r="K1" s="50"/>
      <c r="L1" s="50"/>
      <c r="M1" s="51"/>
    </row>
    <row r="6" spans="5:16" x14ac:dyDescent="0.25">
      <c r="J6" s="12" t="s">
        <v>3</v>
      </c>
      <c r="K6" s="13" t="s">
        <v>21</v>
      </c>
      <c r="L6" s="13">
        <v>0.05</v>
      </c>
      <c r="M6" s="12"/>
      <c r="N6" s="12"/>
      <c r="O6" s="12"/>
      <c r="P6" s="12"/>
    </row>
    <row r="7" spans="5:16" x14ac:dyDescent="0.25">
      <c r="J7" s="12"/>
      <c r="K7" s="12"/>
      <c r="L7" s="12"/>
      <c r="M7" s="12"/>
      <c r="N7" s="12"/>
      <c r="O7" s="12"/>
      <c r="P7" s="12"/>
    </row>
    <row r="8" spans="5:16" ht="15.75" thickBot="1" x14ac:dyDescent="0.3">
      <c r="J8" s="12" t="s">
        <v>4</v>
      </c>
      <c r="K8" s="12"/>
      <c r="L8" s="12"/>
      <c r="M8" s="12"/>
      <c r="N8" s="12"/>
      <c r="O8" s="12"/>
      <c r="P8" s="12"/>
    </row>
    <row r="9" spans="5:16" x14ac:dyDescent="0.25">
      <c r="J9" s="9" t="s">
        <v>5</v>
      </c>
      <c r="K9" s="9" t="s">
        <v>6</v>
      </c>
      <c r="L9" s="9" t="s">
        <v>7</v>
      </c>
      <c r="M9" s="9" t="s">
        <v>8</v>
      </c>
      <c r="N9" s="9" t="s">
        <v>9</v>
      </c>
      <c r="O9" s="12"/>
      <c r="P9" s="12"/>
    </row>
    <row r="10" spans="5:16" x14ac:dyDescent="0.25">
      <c r="J10" s="14" t="s">
        <v>0</v>
      </c>
      <c r="K10" s="14">
        <v>5</v>
      </c>
      <c r="L10" s="14">
        <v>1246</v>
      </c>
      <c r="M10" s="14">
        <v>249.2</v>
      </c>
      <c r="N10" s="14">
        <v>108.2</v>
      </c>
      <c r="O10" s="12"/>
      <c r="P10" s="12"/>
    </row>
    <row r="11" spans="5:16" x14ac:dyDescent="0.25">
      <c r="J11" s="14" t="s">
        <v>1</v>
      </c>
      <c r="K11" s="14">
        <v>5</v>
      </c>
      <c r="L11" s="14">
        <v>1130</v>
      </c>
      <c r="M11" s="14">
        <v>226</v>
      </c>
      <c r="N11" s="14">
        <v>77.5</v>
      </c>
      <c r="O11" s="12"/>
      <c r="P11" s="12"/>
    </row>
    <row r="12" spans="5:16" ht="15.75" thickBot="1" x14ac:dyDescent="0.3">
      <c r="J12" s="15" t="s">
        <v>2</v>
      </c>
      <c r="K12" s="15">
        <v>5</v>
      </c>
      <c r="L12" s="15">
        <v>1029</v>
      </c>
      <c r="M12" s="15">
        <v>205.8</v>
      </c>
      <c r="N12" s="15">
        <v>94.200000000000017</v>
      </c>
      <c r="O12" s="12"/>
      <c r="P12" s="12"/>
    </row>
    <row r="13" spans="5:16" x14ac:dyDescent="0.25">
      <c r="J13" s="12"/>
      <c r="K13" s="12"/>
      <c r="L13" s="12"/>
      <c r="M13" s="12"/>
      <c r="N13" s="12"/>
      <c r="O13" s="12"/>
      <c r="P13" s="12"/>
    </row>
    <row r="14" spans="5:16" ht="15.75" thickBot="1" x14ac:dyDescent="0.3">
      <c r="J14" s="12"/>
      <c r="K14" s="12"/>
      <c r="L14" s="12"/>
      <c r="M14" s="12"/>
      <c r="N14" s="12"/>
      <c r="O14" s="12"/>
      <c r="P14" s="12"/>
    </row>
    <row r="15" spans="5:16" ht="15.75" thickBot="1" x14ac:dyDescent="0.3">
      <c r="E15" s="7" t="s">
        <v>0</v>
      </c>
      <c r="F15" s="7" t="s">
        <v>1</v>
      </c>
      <c r="G15" s="8" t="s">
        <v>2</v>
      </c>
      <c r="J15" s="12" t="s">
        <v>10</v>
      </c>
      <c r="K15" s="12"/>
      <c r="L15" s="12"/>
      <c r="M15" s="12"/>
      <c r="N15" s="12"/>
      <c r="O15" s="12"/>
      <c r="P15" s="12"/>
    </row>
    <row r="16" spans="5:16" x14ac:dyDescent="0.25">
      <c r="E16" s="5">
        <v>254</v>
      </c>
      <c r="F16" s="5">
        <v>234</v>
      </c>
      <c r="G16" s="5">
        <v>200</v>
      </c>
      <c r="J16" s="9" t="s">
        <v>11</v>
      </c>
      <c r="K16" s="9" t="s">
        <v>12</v>
      </c>
      <c r="L16" s="9" t="s">
        <v>13</v>
      </c>
      <c r="M16" s="9" t="s">
        <v>14</v>
      </c>
      <c r="N16" s="9" t="s">
        <v>15</v>
      </c>
      <c r="O16" s="9" t="s">
        <v>16</v>
      </c>
      <c r="P16" s="9" t="s">
        <v>17</v>
      </c>
    </row>
    <row r="17" spans="5:16" x14ac:dyDescent="0.25">
      <c r="E17" s="6">
        <v>263</v>
      </c>
      <c r="F17" s="6">
        <v>218</v>
      </c>
      <c r="G17" s="6">
        <v>222</v>
      </c>
      <c r="J17" s="14" t="s">
        <v>18</v>
      </c>
      <c r="K17" s="14">
        <v>4716.3999999999996</v>
      </c>
      <c r="L17" s="14">
        <v>2</v>
      </c>
      <c r="M17" s="14">
        <v>2358.1999999999998</v>
      </c>
      <c r="N17" s="16">
        <v>25.275455519828508</v>
      </c>
      <c r="O17" s="17">
        <v>4.9852350460386917E-5</v>
      </c>
      <c r="P17" s="18">
        <v>3.8852938346523942</v>
      </c>
    </row>
    <row r="18" spans="5:16" x14ac:dyDescent="0.25">
      <c r="E18" s="6">
        <v>241</v>
      </c>
      <c r="F18" s="6">
        <v>235</v>
      </c>
      <c r="G18" s="6">
        <v>197</v>
      </c>
      <c r="J18" s="14" t="s">
        <v>19</v>
      </c>
      <c r="K18" s="14">
        <v>1119.5999999999999</v>
      </c>
      <c r="L18" s="14">
        <v>12</v>
      </c>
      <c r="M18" s="14">
        <v>93.3</v>
      </c>
      <c r="N18" s="14"/>
      <c r="O18" s="14"/>
      <c r="P18" s="14"/>
    </row>
    <row r="19" spans="5:16" x14ac:dyDescent="0.25">
      <c r="E19" s="6">
        <v>237</v>
      </c>
      <c r="F19" s="6">
        <v>227</v>
      </c>
      <c r="G19" s="6">
        <v>206</v>
      </c>
      <c r="J19" s="14"/>
      <c r="K19" s="14"/>
      <c r="L19" s="14"/>
      <c r="M19" s="14"/>
      <c r="N19" s="14"/>
      <c r="O19" s="14"/>
      <c r="P19" s="14"/>
    </row>
    <row r="20" spans="5:16" ht="15.75" thickBot="1" x14ac:dyDescent="0.3">
      <c r="E20" s="6">
        <v>251</v>
      </c>
      <c r="F20" s="6">
        <v>216</v>
      </c>
      <c r="G20" s="6">
        <v>204</v>
      </c>
      <c r="J20" s="15" t="s">
        <v>20</v>
      </c>
      <c r="K20" s="15">
        <v>5836</v>
      </c>
      <c r="L20" s="15">
        <v>14</v>
      </c>
      <c r="M20" s="15"/>
      <c r="N20" s="15"/>
      <c r="O20" s="15"/>
      <c r="P20" s="15"/>
    </row>
  </sheetData>
  <mergeCells count="1">
    <mergeCell ref="J1:M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2C29-56B9-4B15-AA00-F2D1F809A928}">
  <dimension ref="C1:S16"/>
  <sheetViews>
    <sheetView workbookViewId="0">
      <selection activeCell="Q7" sqref="Q7"/>
    </sheetView>
  </sheetViews>
  <sheetFormatPr defaultRowHeight="15" x14ac:dyDescent="0.25"/>
  <sheetData>
    <row r="1" spans="3:19" ht="19.5" thickBot="1" x14ac:dyDescent="0.35">
      <c r="K1" s="49" t="s">
        <v>42</v>
      </c>
      <c r="L1" s="50"/>
      <c r="M1" s="51"/>
    </row>
    <row r="3" spans="3:19" ht="15.75" thickBot="1" x14ac:dyDescent="0.3">
      <c r="J3" s="62" t="s">
        <v>28</v>
      </c>
      <c r="K3" s="62"/>
      <c r="Q3" s="62" t="s">
        <v>29</v>
      </c>
      <c r="R3" s="62"/>
    </row>
    <row r="4" spans="3:19" ht="15.75" thickBot="1" x14ac:dyDescent="0.3">
      <c r="I4" s="58" t="s">
        <v>22</v>
      </c>
      <c r="J4" s="60" t="s">
        <v>23</v>
      </c>
      <c r="K4" s="61"/>
      <c r="L4" s="52" t="s">
        <v>7</v>
      </c>
      <c r="P4" s="58" t="s">
        <v>22</v>
      </c>
      <c r="Q4" s="60" t="s">
        <v>23</v>
      </c>
      <c r="R4" s="61"/>
      <c r="S4" s="52" t="s">
        <v>7</v>
      </c>
    </row>
    <row r="5" spans="3:19" ht="15.75" thickBot="1" x14ac:dyDescent="0.3">
      <c r="I5" s="59"/>
      <c r="J5" s="1" t="s">
        <v>24</v>
      </c>
      <c r="K5" s="2" t="s">
        <v>25</v>
      </c>
      <c r="L5" s="53"/>
      <c r="P5" s="59"/>
      <c r="Q5" s="1" t="s">
        <v>24</v>
      </c>
      <c r="R5" s="2" t="s">
        <v>25</v>
      </c>
      <c r="S5" s="53"/>
    </row>
    <row r="6" spans="3:19" ht="15.75" thickBot="1" x14ac:dyDescent="0.3">
      <c r="I6" s="1" t="s">
        <v>27</v>
      </c>
      <c r="J6" s="20">
        <v>12</v>
      </c>
      <c r="K6" s="21">
        <v>108</v>
      </c>
      <c r="L6" s="24">
        <f>SUM(J6:K6)</f>
        <v>120</v>
      </c>
      <c r="P6" s="1" t="s">
        <v>27</v>
      </c>
      <c r="Q6" s="20">
        <f>$L6*J$8/$L$8</f>
        <v>14.4</v>
      </c>
      <c r="R6" s="20">
        <f>$L6*K$8/$L$8</f>
        <v>105.6</v>
      </c>
      <c r="S6" s="24"/>
    </row>
    <row r="7" spans="3:19" ht="15.75" thickBot="1" x14ac:dyDescent="0.3">
      <c r="I7" s="1" t="s">
        <v>26</v>
      </c>
      <c r="J7" s="22">
        <v>24</v>
      </c>
      <c r="K7" s="23">
        <v>156</v>
      </c>
      <c r="L7" s="25">
        <f>SUM(J7:K7)</f>
        <v>180</v>
      </c>
      <c r="P7" s="1" t="s">
        <v>26</v>
      </c>
      <c r="Q7" s="20">
        <f>$L7*J$8/$L$8</f>
        <v>21.6</v>
      </c>
      <c r="R7" s="20">
        <f>$L7*K$8/$L$8</f>
        <v>158.4</v>
      </c>
      <c r="S7" s="25"/>
    </row>
    <row r="8" spans="3:19" ht="15.75" thickBot="1" x14ac:dyDescent="0.3">
      <c r="I8" s="26" t="s">
        <v>7</v>
      </c>
      <c r="J8" s="27">
        <f>SUM(J6:J7)</f>
        <v>36</v>
      </c>
      <c r="K8" s="25">
        <f>SUM(K6:K7)</f>
        <v>264</v>
      </c>
      <c r="L8" s="25">
        <f>SUM(L6:L7)</f>
        <v>300</v>
      </c>
      <c r="P8" s="26" t="s">
        <v>7</v>
      </c>
      <c r="Q8" s="27"/>
      <c r="R8" s="25"/>
      <c r="S8" s="25"/>
    </row>
    <row r="11" spans="3:19" ht="15.75" thickBot="1" x14ac:dyDescent="0.3">
      <c r="M11" s="55" t="s">
        <v>43</v>
      </c>
      <c r="N11" s="55"/>
    </row>
    <row r="12" spans="3:19" ht="15.75" thickBot="1" x14ac:dyDescent="0.3">
      <c r="C12" s="58" t="s">
        <v>22</v>
      </c>
      <c r="D12" s="60" t="s">
        <v>23</v>
      </c>
      <c r="E12" s="61"/>
      <c r="F12" s="52" t="s">
        <v>7</v>
      </c>
      <c r="M12" s="54">
        <f>_xlfn.CHISQ.TEST(J6:K7, Q6:R7)</f>
        <v>0.38408824947385201</v>
      </c>
      <c r="N12" s="54"/>
      <c r="O12" s="44" t="s">
        <v>45</v>
      </c>
      <c r="P12" s="56" t="s">
        <v>35</v>
      </c>
      <c r="Q12" s="57"/>
    </row>
    <row r="13" spans="3:19" ht="15.75" thickBot="1" x14ac:dyDescent="0.3">
      <c r="C13" s="59"/>
      <c r="D13" s="1" t="s">
        <v>24</v>
      </c>
      <c r="E13" s="2" t="s">
        <v>25</v>
      </c>
      <c r="F13" s="53"/>
    </row>
    <row r="14" spans="3:19" ht="15.75" thickBot="1" x14ac:dyDescent="0.3">
      <c r="C14" s="1" t="s">
        <v>27</v>
      </c>
      <c r="D14" s="20">
        <v>12</v>
      </c>
      <c r="E14" s="21">
        <v>108</v>
      </c>
      <c r="F14" s="24">
        <f>SUM(D14:E14)</f>
        <v>120</v>
      </c>
    </row>
    <row r="15" spans="3:19" ht="15.75" thickBot="1" x14ac:dyDescent="0.3">
      <c r="C15" s="1" t="s">
        <v>26</v>
      </c>
      <c r="D15" s="22">
        <v>24</v>
      </c>
      <c r="E15" s="23">
        <v>156</v>
      </c>
      <c r="F15" s="25">
        <f>SUM(D15:E15)</f>
        <v>180</v>
      </c>
    </row>
    <row r="16" spans="3:19" ht="15.75" thickBot="1" x14ac:dyDescent="0.3">
      <c r="C16" s="26" t="s">
        <v>7</v>
      </c>
      <c r="D16" s="27">
        <f>SUM(D14:D15)</f>
        <v>36</v>
      </c>
      <c r="E16" s="25">
        <f>SUM(E14:E15)</f>
        <v>264</v>
      </c>
      <c r="F16" s="25">
        <f>SUM(F14:F15)</f>
        <v>300</v>
      </c>
    </row>
  </sheetData>
  <mergeCells count="15">
    <mergeCell ref="P12:Q12"/>
    <mergeCell ref="M11:N11"/>
    <mergeCell ref="M12:N12"/>
    <mergeCell ref="C12:C13"/>
    <mergeCell ref="D12:E12"/>
    <mergeCell ref="F12:F13"/>
    <mergeCell ref="J3:K3"/>
    <mergeCell ref="Q3:R3"/>
    <mergeCell ref="I4:I5"/>
    <mergeCell ref="J4:K4"/>
    <mergeCell ref="L4:L5"/>
    <mergeCell ref="P4:P5"/>
    <mergeCell ref="Q4:R4"/>
    <mergeCell ref="S4:S5"/>
    <mergeCell ref="K1:M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D281-F1DE-481F-8297-A7064F20A984}">
  <dimension ref="C1:S20"/>
  <sheetViews>
    <sheetView zoomScaleNormal="100" workbookViewId="0">
      <selection activeCell="T12" sqref="T12"/>
    </sheetView>
  </sheetViews>
  <sheetFormatPr defaultRowHeight="15" x14ac:dyDescent="0.25"/>
  <cols>
    <col min="7" max="7" width="9.140625" customWidth="1"/>
    <col min="8" max="8" width="0.85546875" customWidth="1"/>
    <col min="9" max="9" width="12.140625" bestFit="1" customWidth="1"/>
    <col min="10" max="10" width="9.140625" customWidth="1"/>
    <col min="11" max="11" width="11.140625" bestFit="1" customWidth="1"/>
    <col min="14" max="14" width="13.7109375" bestFit="1" customWidth="1"/>
    <col min="15" max="15" width="10" customWidth="1"/>
    <col min="17" max="17" width="11.140625" bestFit="1" customWidth="1"/>
  </cols>
  <sheetData>
    <row r="1" spans="3:19" ht="19.5" thickBot="1" x14ac:dyDescent="0.35">
      <c r="L1" s="49" t="s">
        <v>42</v>
      </c>
      <c r="M1" s="50"/>
      <c r="N1" s="51"/>
    </row>
    <row r="3" spans="3:19" ht="15.75" thickBot="1" x14ac:dyDescent="0.3">
      <c r="K3" s="62" t="s">
        <v>28</v>
      </c>
      <c r="L3" s="62"/>
      <c r="Q3" s="62" t="s">
        <v>29</v>
      </c>
      <c r="R3" s="62"/>
    </row>
    <row r="4" spans="3:19" ht="15.75" thickBot="1" x14ac:dyDescent="0.3">
      <c r="J4" s="58" t="s">
        <v>22</v>
      </c>
      <c r="K4" s="60" t="s">
        <v>23</v>
      </c>
      <c r="L4" s="61"/>
      <c r="M4" s="52" t="s">
        <v>7</v>
      </c>
      <c r="P4" s="58" t="s">
        <v>22</v>
      </c>
      <c r="Q4" s="60" t="s">
        <v>23</v>
      </c>
      <c r="R4" s="61"/>
      <c r="S4" s="52" t="s">
        <v>7</v>
      </c>
    </row>
    <row r="5" spans="3:19" ht="15.75" thickBot="1" x14ac:dyDescent="0.3">
      <c r="J5" s="59"/>
      <c r="K5" s="1" t="s">
        <v>24</v>
      </c>
      <c r="L5" s="2" t="s">
        <v>25</v>
      </c>
      <c r="M5" s="53"/>
      <c r="P5" s="59"/>
      <c r="Q5" s="1" t="s">
        <v>24</v>
      </c>
      <c r="R5" s="2" t="s">
        <v>25</v>
      </c>
      <c r="S5" s="53"/>
    </row>
    <row r="6" spans="3:19" ht="15.75" thickBot="1" x14ac:dyDescent="0.3">
      <c r="J6" s="1" t="s">
        <v>27</v>
      </c>
      <c r="K6" s="20">
        <v>12</v>
      </c>
      <c r="L6" s="21">
        <v>108</v>
      </c>
      <c r="M6" s="24">
        <f>SUM(K6:L6)</f>
        <v>120</v>
      </c>
      <c r="P6" s="1" t="s">
        <v>27</v>
      </c>
      <c r="Q6" s="20">
        <f>$M6*K$8/$M$8</f>
        <v>14.4</v>
      </c>
      <c r="R6" s="20">
        <f>$M6*L$8/$M$8</f>
        <v>105.6</v>
      </c>
      <c r="S6" s="24"/>
    </row>
    <row r="7" spans="3:19" ht="15.75" thickBot="1" x14ac:dyDescent="0.3">
      <c r="J7" s="1" t="s">
        <v>26</v>
      </c>
      <c r="K7" s="22">
        <v>24</v>
      </c>
      <c r="L7" s="23">
        <v>156</v>
      </c>
      <c r="M7" s="25">
        <f>SUM(K7:L7)</f>
        <v>180</v>
      </c>
      <c r="P7" s="1" t="s">
        <v>26</v>
      </c>
      <c r="Q7" s="20">
        <f>$M7*K$8/$M$8</f>
        <v>21.6</v>
      </c>
      <c r="R7" s="20">
        <f>$M7*L$8/$M$8</f>
        <v>158.4</v>
      </c>
      <c r="S7" s="25"/>
    </row>
    <row r="8" spans="3:19" ht="15.75" thickBot="1" x14ac:dyDescent="0.3">
      <c r="J8" s="26" t="s">
        <v>7</v>
      </c>
      <c r="K8" s="27">
        <f>SUM(K6:K7)</f>
        <v>36</v>
      </c>
      <c r="L8" s="25">
        <f>SUM(L6:L7)</f>
        <v>264</v>
      </c>
      <c r="M8" s="25">
        <f>SUM(M6:M7)</f>
        <v>300</v>
      </c>
      <c r="P8" s="26" t="s">
        <v>7</v>
      </c>
      <c r="Q8" s="27"/>
      <c r="R8" s="25"/>
      <c r="S8" s="25"/>
    </row>
    <row r="9" spans="3:19" ht="15.75" thickBot="1" x14ac:dyDescent="0.3"/>
    <row r="10" spans="3:19" ht="15.75" thickBot="1" x14ac:dyDescent="0.3">
      <c r="J10" s="60" t="s">
        <v>30</v>
      </c>
      <c r="K10" s="61"/>
      <c r="Q10" s="11" t="s">
        <v>21</v>
      </c>
      <c r="R10" s="13">
        <v>0.05</v>
      </c>
    </row>
    <row r="11" spans="3:19" x14ac:dyDescent="0.25">
      <c r="J11" s="3">
        <f>(K6-Q6)^2/Q6</f>
        <v>0.40000000000000008</v>
      </c>
      <c r="K11" s="3">
        <f>(L6-R6)^2/R6</f>
        <v>5.4545454545454806E-2</v>
      </c>
      <c r="Q11" s="32" t="s">
        <v>34</v>
      </c>
      <c r="R11" s="13">
        <f>_xlfn.CHISQ.INV.RT(0.05, 1)</f>
        <v>3.8414588206941236</v>
      </c>
    </row>
    <row r="12" spans="3:19" x14ac:dyDescent="0.25">
      <c r="J12" s="4">
        <f>(K7-Q7)^2/Q7</f>
        <v>0.26666666666666633</v>
      </c>
      <c r="K12" s="4">
        <f>(L7-R7)^2/R7</f>
        <v>3.6363636363636535E-2</v>
      </c>
    </row>
    <row r="13" spans="3:19" ht="15.75" thickBot="1" x14ac:dyDescent="0.3">
      <c r="I13" s="28" t="s">
        <v>32</v>
      </c>
      <c r="J13" s="73">
        <f>SUM(J11:K12)</f>
        <v>0.75757575757575768</v>
      </c>
      <c r="K13" s="74"/>
    </row>
    <row r="14" spans="3:19" ht="15.75" thickBot="1" x14ac:dyDescent="0.3">
      <c r="C14" s="58" t="s">
        <v>22</v>
      </c>
      <c r="D14" s="60" t="s">
        <v>23</v>
      </c>
      <c r="E14" s="61"/>
      <c r="F14" s="52" t="s">
        <v>7</v>
      </c>
      <c r="P14" s="28" t="s">
        <v>31</v>
      </c>
      <c r="Q14" s="76">
        <f>(COUNT(K6:K7) -1) * (COUNT(K6:L6)-1)</f>
        <v>1</v>
      </c>
      <c r="R14" s="76"/>
    </row>
    <row r="15" spans="3:19" ht="15.75" thickBot="1" x14ac:dyDescent="0.3">
      <c r="C15" s="59"/>
      <c r="D15" s="1" t="s">
        <v>24</v>
      </c>
      <c r="E15" s="2" t="s">
        <v>25</v>
      </c>
      <c r="F15" s="53"/>
      <c r="J15" s="75"/>
      <c r="K15" s="75"/>
    </row>
    <row r="16" spans="3:19" ht="15.75" thickBot="1" x14ac:dyDescent="0.3">
      <c r="C16" s="1" t="s">
        <v>27</v>
      </c>
      <c r="D16" s="20">
        <v>12</v>
      </c>
      <c r="E16" s="21">
        <v>108</v>
      </c>
      <c r="F16" s="24">
        <f>SUM(D16:E16)</f>
        <v>120</v>
      </c>
    </row>
    <row r="17" spans="3:19" ht="16.5" thickBot="1" x14ac:dyDescent="0.3">
      <c r="C17" s="1" t="s">
        <v>26</v>
      </c>
      <c r="D17" s="22">
        <v>24</v>
      </c>
      <c r="E17" s="23">
        <v>156</v>
      </c>
      <c r="F17" s="25">
        <f>SUM(D17:E17)</f>
        <v>180</v>
      </c>
      <c r="I17" s="29" t="s">
        <v>33</v>
      </c>
      <c r="J17" s="30"/>
      <c r="K17" s="63" t="s">
        <v>44</v>
      </c>
      <c r="L17" s="63"/>
      <c r="M17" s="42">
        <f>J13</f>
        <v>0.75757575757575768</v>
      </c>
      <c r="N17" s="33" t="s">
        <v>36</v>
      </c>
      <c r="O17" s="31">
        <f>R11</f>
        <v>3.8414588206941236</v>
      </c>
      <c r="P17" s="64" t="s">
        <v>35</v>
      </c>
      <c r="Q17" s="65"/>
    </row>
    <row r="18" spans="3:19" ht="15.75" thickBot="1" x14ac:dyDescent="0.3">
      <c r="C18" s="26" t="s">
        <v>7</v>
      </c>
      <c r="D18" s="27">
        <f>SUM(D16:D17)</f>
        <v>36</v>
      </c>
      <c r="E18" s="25">
        <f>SUM(E16:E17)</f>
        <v>264</v>
      </c>
      <c r="F18" s="25">
        <f>SUM(F16:F17)</f>
        <v>300</v>
      </c>
      <c r="I18" s="68" t="s">
        <v>37</v>
      </c>
      <c r="J18" s="34"/>
      <c r="K18" s="35" t="s">
        <v>38</v>
      </c>
      <c r="L18" s="63" t="s">
        <v>40</v>
      </c>
      <c r="M18" s="63"/>
      <c r="N18" s="36" t="s">
        <v>41</v>
      </c>
      <c r="O18" s="36"/>
      <c r="P18" s="36" t="s">
        <v>45</v>
      </c>
      <c r="Q18" s="37" t="s">
        <v>39</v>
      </c>
      <c r="R18" s="64" t="s">
        <v>35</v>
      </c>
      <c r="S18" s="65"/>
    </row>
    <row r="19" spans="3:19" x14ac:dyDescent="0.25">
      <c r="I19" s="69"/>
      <c r="J19" s="43"/>
      <c r="K19" s="46"/>
      <c r="L19" s="47" t="s">
        <v>38</v>
      </c>
      <c r="M19" s="46"/>
      <c r="N19" s="46"/>
      <c r="O19" s="48">
        <f>_xlfn.CHISQ.DIST.RT(0.7576, 1)</f>
        <v>0.38408064163181699</v>
      </c>
      <c r="P19" s="44" t="s">
        <v>45</v>
      </c>
      <c r="Q19" s="45" t="s">
        <v>39</v>
      </c>
      <c r="R19" s="66" t="s">
        <v>35</v>
      </c>
      <c r="S19" s="67"/>
    </row>
    <row r="20" spans="3:19" ht="15.75" thickBot="1" x14ac:dyDescent="0.3">
      <c r="I20" s="70"/>
      <c r="J20" s="38"/>
      <c r="K20" s="38"/>
      <c r="L20" s="39" t="s">
        <v>38</v>
      </c>
      <c r="M20" s="38"/>
      <c r="N20" s="38"/>
      <c r="O20" s="38">
        <f>_xlfn.CHISQ.TEST(K6:L7, Q6:R7)</f>
        <v>0.38408824947385201</v>
      </c>
      <c r="P20" s="40" t="s">
        <v>45</v>
      </c>
      <c r="Q20" s="41" t="s">
        <v>39</v>
      </c>
      <c r="R20" s="71" t="s">
        <v>35</v>
      </c>
      <c r="S20" s="72"/>
    </row>
  </sheetData>
  <mergeCells count="23">
    <mergeCell ref="K3:L3"/>
    <mergeCell ref="Q3:R3"/>
    <mergeCell ref="P4:P5"/>
    <mergeCell ref="Q4:R4"/>
    <mergeCell ref="C14:C15"/>
    <mergeCell ref="D14:E14"/>
    <mergeCell ref="F14:F15"/>
    <mergeCell ref="L18:M18"/>
    <mergeCell ref="R18:S18"/>
    <mergeCell ref="R19:S19"/>
    <mergeCell ref="I18:I20"/>
    <mergeCell ref="L1:N1"/>
    <mergeCell ref="R20:S20"/>
    <mergeCell ref="S4:S5"/>
    <mergeCell ref="J13:K13"/>
    <mergeCell ref="J10:K10"/>
    <mergeCell ref="J15:K15"/>
    <mergeCell ref="Q14:R14"/>
    <mergeCell ref="K17:L17"/>
    <mergeCell ref="P17:Q17"/>
    <mergeCell ref="J4:J5"/>
    <mergeCell ref="K4:L4"/>
    <mergeCell ref="M4:M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5544-7C72-4DA3-B1F7-C8822C68709A}">
  <dimension ref="C1:T15"/>
  <sheetViews>
    <sheetView workbookViewId="0">
      <selection activeCell="U22" sqref="U22"/>
    </sheetView>
  </sheetViews>
  <sheetFormatPr defaultRowHeight="15" x14ac:dyDescent="0.25"/>
  <sheetData>
    <row r="1" spans="3:20" ht="19.5" thickBot="1" x14ac:dyDescent="0.35">
      <c r="L1" s="49" t="s">
        <v>42</v>
      </c>
      <c r="M1" s="50"/>
      <c r="N1" s="51"/>
    </row>
    <row r="4" spans="3:20" ht="15.75" thickBot="1" x14ac:dyDescent="0.3"/>
    <row r="5" spans="3:20" ht="15.75" thickBot="1" x14ac:dyDescent="0.3">
      <c r="J5" s="19"/>
      <c r="K5" s="80" t="s">
        <v>48</v>
      </c>
      <c r="L5" s="81" t="s">
        <v>49</v>
      </c>
      <c r="M5" s="81" t="s">
        <v>50</v>
      </c>
      <c r="N5" s="82" t="s">
        <v>20</v>
      </c>
      <c r="P5" s="19"/>
      <c r="Q5" s="80" t="s">
        <v>48</v>
      </c>
      <c r="R5" s="81" t="s">
        <v>49</v>
      </c>
      <c r="S5" s="81" t="s">
        <v>50</v>
      </c>
      <c r="T5" s="82" t="s">
        <v>20</v>
      </c>
    </row>
    <row r="6" spans="3:20" x14ac:dyDescent="0.25">
      <c r="J6" s="83" t="s">
        <v>46</v>
      </c>
      <c r="K6" s="77">
        <v>63</v>
      </c>
      <c r="L6" s="3">
        <v>20</v>
      </c>
      <c r="M6" s="3">
        <v>37</v>
      </c>
      <c r="N6" s="24">
        <f>SUM(K6:M6)</f>
        <v>120</v>
      </c>
      <c r="P6" s="83" t="s">
        <v>46</v>
      </c>
      <c r="Q6" s="77">
        <f>$N6*K$8/$N$8</f>
        <v>60</v>
      </c>
      <c r="R6" s="77">
        <f t="shared" ref="R6:S6" si="0">$N6*L$8/$N$8</f>
        <v>30</v>
      </c>
      <c r="S6" s="77">
        <f t="shared" si="0"/>
        <v>30</v>
      </c>
      <c r="T6" s="24"/>
    </row>
    <row r="7" spans="3:20" x14ac:dyDescent="0.25">
      <c r="J7" s="84" t="s">
        <v>47</v>
      </c>
      <c r="K7" s="78">
        <v>37</v>
      </c>
      <c r="L7" s="4">
        <v>30</v>
      </c>
      <c r="M7" s="4">
        <v>13</v>
      </c>
      <c r="N7" s="24">
        <f>SUM(K7:M7)</f>
        <v>80</v>
      </c>
      <c r="P7" s="84" t="s">
        <v>47</v>
      </c>
      <c r="Q7" s="77">
        <f>$N7*K$8/$N$8</f>
        <v>40</v>
      </c>
      <c r="R7" s="77">
        <f t="shared" ref="R7" si="1">$N7*L$8/$N$8</f>
        <v>20</v>
      </c>
      <c r="S7" s="77">
        <f t="shared" ref="S7" si="2">$N7*M$8/$N$8</f>
        <v>20</v>
      </c>
      <c r="T7" s="24"/>
    </row>
    <row r="8" spans="3:20" ht="15.75" thickBot="1" x14ac:dyDescent="0.3">
      <c r="J8" s="85" t="s">
        <v>20</v>
      </c>
      <c r="K8" s="79">
        <f>SUM(K6:K7)</f>
        <v>100</v>
      </c>
      <c r="L8" s="24">
        <f>SUM(L6:L7)</f>
        <v>50</v>
      </c>
      <c r="M8" s="24">
        <f>SUM(M6:M7)</f>
        <v>50</v>
      </c>
      <c r="N8" s="24">
        <f>SUM(N6:N7)</f>
        <v>200</v>
      </c>
      <c r="P8" s="85" t="s">
        <v>20</v>
      </c>
      <c r="Q8" s="79"/>
      <c r="R8" s="24"/>
      <c r="S8" s="24"/>
      <c r="T8" s="24"/>
    </row>
    <row r="11" spans="3:20" ht="15.75" thickBot="1" x14ac:dyDescent="0.3">
      <c r="N11" s="86" t="s">
        <v>43</v>
      </c>
      <c r="O11" s="86"/>
    </row>
    <row r="12" spans="3:20" ht="15.75" thickBot="1" x14ac:dyDescent="0.3">
      <c r="C12" s="19"/>
      <c r="D12" s="80" t="s">
        <v>48</v>
      </c>
      <c r="E12" s="81" t="s">
        <v>49</v>
      </c>
      <c r="F12" s="81" t="s">
        <v>50</v>
      </c>
      <c r="G12" s="82" t="s">
        <v>20</v>
      </c>
      <c r="N12" s="54">
        <f>_xlfn.CHISQ.TEST(K6:M7, Q6:S7)</f>
        <v>1.6684948717722058E-3</v>
      </c>
      <c r="O12" s="54"/>
      <c r="P12" s="44" t="s">
        <v>51</v>
      </c>
      <c r="Q12" s="56" t="s">
        <v>52</v>
      </c>
      <c r="R12" s="57"/>
    </row>
    <row r="13" spans="3:20" x14ac:dyDescent="0.25">
      <c r="C13" s="83" t="s">
        <v>46</v>
      </c>
      <c r="D13" s="77">
        <v>63</v>
      </c>
      <c r="E13" s="3">
        <v>20</v>
      </c>
      <c r="F13" s="3">
        <v>37</v>
      </c>
      <c r="G13" s="24">
        <f>SUM(D13:F13)</f>
        <v>120</v>
      </c>
    </row>
    <row r="14" spans="3:20" x14ac:dyDescent="0.25">
      <c r="C14" s="84" t="s">
        <v>47</v>
      </c>
      <c r="D14" s="78">
        <v>37</v>
      </c>
      <c r="E14" s="4">
        <v>30</v>
      </c>
      <c r="F14" s="4">
        <v>13</v>
      </c>
      <c r="G14" s="24">
        <f>SUM(D14:F14)</f>
        <v>80</v>
      </c>
    </row>
    <row r="15" spans="3:20" ht="15.75" thickBot="1" x14ac:dyDescent="0.3">
      <c r="C15" s="85" t="s">
        <v>20</v>
      </c>
      <c r="D15" s="79">
        <f>SUM(D13:D14)</f>
        <v>100</v>
      </c>
      <c r="E15" s="24">
        <f>SUM(E13:E14)</f>
        <v>50</v>
      </c>
      <c r="F15" s="24">
        <f>SUM(F13:F14)</f>
        <v>50</v>
      </c>
      <c r="G15" s="24">
        <f>SUM(G13:G14)</f>
        <v>200</v>
      </c>
    </row>
  </sheetData>
  <mergeCells count="4">
    <mergeCell ref="L1:N1"/>
    <mergeCell ref="N11:O11"/>
    <mergeCell ref="N12:O12"/>
    <mergeCell ref="Q12:R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77AA-4E5B-4362-9AB8-F717899CC1D6}">
  <dimension ref="B1:S20"/>
  <sheetViews>
    <sheetView tabSelected="1" workbookViewId="0">
      <selection activeCell="U22" sqref="U22"/>
    </sheetView>
  </sheetViews>
  <sheetFormatPr defaultRowHeight="15" x14ac:dyDescent="0.25"/>
  <sheetData>
    <row r="1" spans="2:19" ht="19.5" thickBot="1" x14ac:dyDescent="0.35">
      <c r="K1" s="49" t="s">
        <v>42</v>
      </c>
      <c r="L1" s="50"/>
      <c r="M1" s="51"/>
    </row>
    <row r="5" spans="2:19" ht="15.75" thickBot="1" x14ac:dyDescent="0.3"/>
    <row r="6" spans="2:19" x14ac:dyDescent="0.25">
      <c r="I6" s="87" t="s">
        <v>53</v>
      </c>
      <c r="J6" s="88" t="s">
        <v>54</v>
      </c>
      <c r="K6" s="89"/>
      <c r="L6" s="90"/>
      <c r="M6" s="96" t="s">
        <v>20</v>
      </c>
      <c r="O6" s="87" t="s">
        <v>53</v>
      </c>
      <c r="P6" s="88" t="s">
        <v>54</v>
      </c>
      <c r="Q6" s="89"/>
      <c r="R6" s="90"/>
      <c r="S6" s="96" t="s">
        <v>20</v>
      </c>
    </row>
    <row r="7" spans="2:19" ht="15.75" thickBot="1" x14ac:dyDescent="0.3">
      <c r="I7" s="91"/>
      <c r="J7" s="92" t="s">
        <v>55</v>
      </c>
      <c r="K7" s="93" t="s">
        <v>56</v>
      </c>
      <c r="L7" s="93" t="s">
        <v>57</v>
      </c>
      <c r="M7" s="97"/>
      <c r="O7" s="91"/>
      <c r="P7" s="92" t="s">
        <v>55</v>
      </c>
      <c r="Q7" s="93" t="s">
        <v>56</v>
      </c>
      <c r="R7" s="93" t="s">
        <v>57</v>
      </c>
      <c r="S7" s="97"/>
    </row>
    <row r="8" spans="2:19" x14ac:dyDescent="0.25">
      <c r="I8" s="83" t="s">
        <v>59</v>
      </c>
      <c r="J8" s="94">
        <v>24</v>
      </c>
      <c r="K8" s="5">
        <v>32</v>
      </c>
      <c r="L8" s="5">
        <v>14</v>
      </c>
      <c r="M8" s="98">
        <f>SUM(J8:L8)</f>
        <v>70</v>
      </c>
      <c r="O8" s="83" t="s">
        <v>59</v>
      </c>
      <c r="P8" s="94">
        <f>$M8*J$12/$M$12</f>
        <v>24.5</v>
      </c>
      <c r="Q8" s="94">
        <f>$M8*K$12/$M$12</f>
        <v>30.8</v>
      </c>
      <c r="R8" s="94">
        <f t="shared" ref="Q8:R8" si="0">$M8*L$12/$M$12</f>
        <v>14.7</v>
      </c>
      <c r="S8" s="98"/>
    </row>
    <row r="9" spans="2:19" x14ac:dyDescent="0.25">
      <c r="I9" s="84" t="s">
        <v>58</v>
      </c>
      <c r="J9" s="95">
        <v>22</v>
      </c>
      <c r="K9" s="6">
        <v>26</v>
      </c>
      <c r="L9" s="6">
        <v>12</v>
      </c>
      <c r="M9" s="99">
        <f>SUM(J9:L9)</f>
        <v>60</v>
      </c>
      <c r="O9" s="84" t="s">
        <v>58</v>
      </c>
      <c r="P9" s="94">
        <f t="shared" ref="P9:P11" si="1">$M9*J$12/$M$12</f>
        <v>21</v>
      </c>
      <c r="Q9" s="94">
        <f t="shared" ref="Q9:Q11" si="2">$M9*K$12/$M$12</f>
        <v>26.4</v>
      </c>
      <c r="R9" s="94">
        <f t="shared" ref="R9:R11" si="3">$M9*L$12/$M$12</f>
        <v>12.6</v>
      </c>
      <c r="S9" s="99"/>
    </row>
    <row r="10" spans="2:19" x14ac:dyDescent="0.25">
      <c r="I10" s="84" t="s">
        <v>61</v>
      </c>
      <c r="J10" s="95">
        <v>10</v>
      </c>
      <c r="K10" s="6">
        <v>14</v>
      </c>
      <c r="L10" s="6">
        <v>6</v>
      </c>
      <c r="M10" s="99">
        <f>SUM(J10:L10)</f>
        <v>30</v>
      </c>
      <c r="O10" s="84" t="s">
        <v>61</v>
      </c>
      <c r="P10" s="94">
        <f>$M10*J$12/$M$12</f>
        <v>10.5</v>
      </c>
      <c r="Q10" s="94">
        <f>$M10*K$12/$M$12</f>
        <v>13.2</v>
      </c>
      <c r="R10" s="94">
        <f t="shared" si="3"/>
        <v>6.3</v>
      </c>
      <c r="S10" s="99"/>
    </row>
    <row r="11" spans="2:19" x14ac:dyDescent="0.25">
      <c r="I11" s="84" t="s">
        <v>60</v>
      </c>
      <c r="J11" s="95">
        <v>14</v>
      </c>
      <c r="K11" s="6">
        <v>16</v>
      </c>
      <c r="L11" s="6">
        <v>10</v>
      </c>
      <c r="M11" s="99">
        <f>SUM(J11:L11)</f>
        <v>40</v>
      </c>
      <c r="O11" s="84" t="s">
        <v>60</v>
      </c>
      <c r="P11" s="94">
        <f t="shared" si="1"/>
        <v>14</v>
      </c>
      <c r="Q11" s="94">
        <f t="shared" si="2"/>
        <v>17.600000000000001</v>
      </c>
      <c r="R11" s="94">
        <f>$M11*L$12/$M$12</f>
        <v>8.4</v>
      </c>
      <c r="S11" s="99"/>
    </row>
    <row r="12" spans="2:19" ht="15.75" thickBot="1" x14ac:dyDescent="0.3">
      <c r="I12" s="100" t="s">
        <v>20</v>
      </c>
      <c r="J12" s="101">
        <f>SUM(J8:J11)</f>
        <v>70</v>
      </c>
      <c r="K12" s="99">
        <f>SUM(K8:K11)</f>
        <v>88</v>
      </c>
      <c r="L12" s="99">
        <f>SUM(L8:L11)</f>
        <v>42</v>
      </c>
      <c r="M12" s="99">
        <f>SUM(M8:M11)</f>
        <v>200</v>
      </c>
      <c r="O12" s="100" t="s">
        <v>20</v>
      </c>
      <c r="P12" s="101"/>
      <c r="Q12" s="99"/>
      <c r="R12" s="99"/>
      <c r="S12" s="99"/>
    </row>
    <row r="13" spans="2:19" ht="15.75" thickBot="1" x14ac:dyDescent="0.3"/>
    <row r="14" spans="2:19" x14ac:dyDescent="0.25">
      <c r="B14" s="87" t="s">
        <v>53</v>
      </c>
      <c r="C14" s="88" t="s">
        <v>54</v>
      </c>
      <c r="D14" s="89"/>
      <c r="E14" s="90"/>
      <c r="F14" s="96" t="s">
        <v>20</v>
      </c>
    </row>
    <row r="15" spans="2:19" ht="15.75" thickBot="1" x14ac:dyDescent="0.3">
      <c r="B15" s="91"/>
      <c r="C15" s="92" t="s">
        <v>55</v>
      </c>
      <c r="D15" s="93" t="s">
        <v>56</v>
      </c>
      <c r="E15" s="93" t="s">
        <v>57</v>
      </c>
      <c r="F15" s="97"/>
      <c r="L15" s="86" t="s">
        <v>43</v>
      </c>
      <c r="M15" s="86"/>
    </row>
    <row r="16" spans="2:19" ht="15.75" thickBot="1" x14ac:dyDescent="0.3">
      <c r="B16" s="83" t="s">
        <v>59</v>
      </c>
      <c r="C16" s="94">
        <v>24</v>
      </c>
      <c r="D16" s="5">
        <v>32</v>
      </c>
      <c r="E16" s="5">
        <v>14</v>
      </c>
      <c r="F16" s="98">
        <f>SUM(C16:E16)</f>
        <v>70</v>
      </c>
      <c r="L16" s="54">
        <f>_xlfn.CHISQ.TEST(J8:L11, P8:R11)</f>
        <v>0.9942873142017763</v>
      </c>
      <c r="M16" s="54"/>
      <c r="N16" s="44" t="s">
        <v>45</v>
      </c>
      <c r="O16" s="56" t="s">
        <v>35</v>
      </c>
      <c r="P16" s="57"/>
    </row>
    <row r="17" spans="2:6" x14ac:dyDescent="0.25">
      <c r="B17" s="84" t="s">
        <v>58</v>
      </c>
      <c r="C17" s="95">
        <v>22</v>
      </c>
      <c r="D17" s="6">
        <v>26</v>
      </c>
      <c r="E17" s="6">
        <v>12</v>
      </c>
      <c r="F17" s="99">
        <f>SUM(C17:E17)</f>
        <v>60</v>
      </c>
    </row>
    <row r="18" spans="2:6" x14ac:dyDescent="0.25">
      <c r="B18" s="84" t="s">
        <v>61</v>
      </c>
      <c r="C18" s="95">
        <v>10</v>
      </c>
      <c r="D18" s="6">
        <v>14</v>
      </c>
      <c r="E18" s="6">
        <v>6</v>
      </c>
      <c r="F18" s="99">
        <f>SUM(C18:E18)</f>
        <v>30</v>
      </c>
    </row>
    <row r="19" spans="2:6" x14ac:dyDescent="0.25">
      <c r="B19" s="84" t="s">
        <v>60</v>
      </c>
      <c r="C19" s="95">
        <v>14</v>
      </c>
      <c r="D19" s="6">
        <v>16</v>
      </c>
      <c r="E19" s="6">
        <v>10</v>
      </c>
      <c r="F19" s="99">
        <f>SUM(C19:E19)</f>
        <v>40</v>
      </c>
    </row>
    <row r="20" spans="2:6" ht="15.75" thickBot="1" x14ac:dyDescent="0.3">
      <c r="B20" s="100" t="s">
        <v>20</v>
      </c>
      <c r="C20" s="101">
        <f>SUM(C16:C19)</f>
        <v>70</v>
      </c>
      <c r="D20" s="99">
        <f>SUM(D16:D19)</f>
        <v>88</v>
      </c>
      <c r="E20" s="99">
        <f>SUM(E16:E19)</f>
        <v>42</v>
      </c>
      <c r="F20" s="99">
        <f>SUM(F16:F19)</f>
        <v>200</v>
      </c>
    </row>
  </sheetData>
  <mergeCells count="13">
    <mergeCell ref="M6:M7"/>
    <mergeCell ref="O6:O7"/>
    <mergeCell ref="P6:R6"/>
    <mergeCell ref="S6:S7"/>
    <mergeCell ref="L15:M15"/>
    <mergeCell ref="L16:M16"/>
    <mergeCell ref="O16:P16"/>
    <mergeCell ref="B14:B15"/>
    <mergeCell ref="F14:F15"/>
    <mergeCell ref="K1:M1"/>
    <mergeCell ref="C14:E14"/>
    <mergeCell ref="I6:I7"/>
    <mergeCell ref="J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Anova test</vt:lpstr>
      <vt:lpstr>Chi-square test_1</vt:lpstr>
      <vt:lpstr>Chi-square test_2</vt:lpstr>
      <vt:lpstr>Chi-square test_3</vt:lpstr>
      <vt:lpstr>Chi-square test_4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2025-08-25T08:29:43Z</dcterms:created>
  <dcterms:modified xsi:type="dcterms:W3CDTF">2025-08-26T08:29:32Z</dcterms:modified>
</cp:coreProperties>
</file>
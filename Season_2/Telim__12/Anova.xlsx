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12\"/>
    </mc:Choice>
  </mc:AlternateContent>
  <xr:revisionPtr revIDLastSave="0" documentId="13_ncr:1_{D07BD3DA-B695-4CE1-A517-A14AF5BD685E}" xr6:coauthVersionLast="45" xr6:coauthVersionMax="45" xr10:uidLastSave="{00000000-0000-0000-0000-000000000000}"/>
  <bookViews>
    <workbookView xWindow="-120" yWindow="-120" windowWidth="20730" windowHeight="11160" activeTab="2" xr2:uid="{FC76C2A3-24E0-4F30-8E87-134E6DB0E355}"/>
  </bookViews>
  <sheets>
    <sheet name="Anova test" sheetId="1" r:id="rId1"/>
    <sheet name="Chi-square test_1" sheetId="3" r:id="rId2"/>
    <sheet name="Chi-square test_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1" i="3" l="1"/>
  <c r="K8" i="3"/>
  <c r="J8" i="3"/>
  <c r="L7" i="3"/>
  <c r="L6" i="3"/>
  <c r="L8" i="3" s="1"/>
  <c r="E16" i="3"/>
  <c r="D16" i="3"/>
  <c r="F15" i="3"/>
  <c r="F14" i="3"/>
  <c r="F16" i="3" s="1"/>
  <c r="F17" i="2"/>
  <c r="O19" i="2"/>
  <c r="R11" i="2"/>
  <c r="O17" i="2" s="1"/>
  <c r="Q14" i="2"/>
  <c r="L8" i="2"/>
  <c r="K8" i="2"/>
  <c r="M7" i="2"/>
  <c r="M6" i="2"/>
  <c r="F16" i="2"/>
  <c r="E18" i="2"/>
  <c r="D18" i="2"/>
  <c r="O7" i="3" l="1"/>
  <c r="P6" i="3"/>
  <c r="P7" i="3"/>
  <c r="O6" i="3"/>
  <c r="F18" i="2"/>
  <c r="M8" i="2"/>
  <c r="P7" i="2" s="1"/>
  <c r="J12" i="2" s="1"/>
  <c r="Q7" i="2" l="1"/>
  <c r="K12" i="2" s="1"/>
  <c r="Q6" i="2"/>
  <c r="K11" i="2" s="1"/>
  <c r="P6" i="2"/>
  <c r="J11" i="2" l="1"/>
  <c r="O20" i="2"/>
  <c r="J13" i="2"/>
  <c r="M17" i="2" s="1"/>
</calcChain>
</file>

<file path=xl/sharedStrings.xml><?xml version="1.0" encoding="utf-8"?>
<sst xmlns="http://schemas.openxmlformats.org/spreadsheetml/2006/main" count="107" uniqueCount="46">
  <si>
    <t>Club 1</t>
  </si>
  <si>
    <t>Club 2</t>
  </si>
  <si>
    <t>Club 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</si>
  <si>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</si>
  <si>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</si>
  <si>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</si>
  <si>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</si>
  <si>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</si>
  <si>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</si>
  <si>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</si>
  <si>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</si>
  <si>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</si>
  <si>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</si>
  <si>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</si>
  <si>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</si>
  <si>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</si>
  <si>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</si>
  <si>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</si>
  <si>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</si>
  <si>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</si>
  <si>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</si>
  <si>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alfa=</t>
  </si>
  <si>
    <t>Gender</t>
  </si>
  <si>
    <t>Hand Preference</t>
  </si>
  <si>
    <t>Lefr</t>
  </si>
  <si>
    <t>Right</t>
  </si>
  <si>
    <t>Male</t>
  </si>
  <si>
    <t>Female</t>
  </si>
  <si>
    <t>Contingency table</t>
  </si>
  <si>
    <t>Expected table</t>
  </si>
  <si>
    <t>(C-E)^2/E</t>
  </si>
  <si>
    <t>df=</t>
  </si>
  <si>
    <t>Chi^2_stat=</t>
  </si>
  <si>
    <t>1 st method</t>
  </si>
  <si>
    <t>Chi^2_alfa=</t>
  </si>
  <si>
    <t>Don't Reject H0</t>
  </si>
  <si>
    <t>&lt;</t>
  </si>
  <si>
    <t>2 nd method</t>
  </si>
  <si>
    <t>p-value</t>
  </si>
  <si>
    <t>alfa</t>
  </si>
  <si>
    <t>P(Chi_stat)*2</t>
  </si>
  <si>
    <t>from Chi table</t>
  </si>
  <si>
    <t>Chi-square test</t>
  </si>
  <si>
    <t>P value</t>
  </si>
  <si>
    <t>Chi^2_stat</t>
  </si>
  <si>
    <t>&gt;   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</si>
</sst>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00"/>
    <numFmt numFmtId="171" formatCode="0.0000"/>
    <numFmt numFmtId="173" formatCode="0.000000"/>
    <numFmt numFmtId="174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74" fontId="0" fillId="5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71" fontId="5" fillId="3" borderId="16" xfId="0" applyNumberFormat="1" applyFont="1" applyFill="1" applyBorder="1" applyAlignment="1">
      <alignment horizontal="center"/>
    </xf>
    <xf numFmtId="171" fontId="5" fillId="3" borderId="15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/>
    <xf numFmtId="0" fontId="0" fillId="3" borderId="5" xfId="0" applyFill="1" applyBorder="1" applyAlignment="1">
      <alignment horizontal="center"/>
    </xf>
    <xf numFmtId="170" fontId="0" fillId="9" borderId="5" xfId="0" applyNumberFormat="1" applyFill="1" applyBorder="1" applyAlignment="1">
      <alignment horizontal="left"/>
    </xf>
    <xf numFmtId="0" fontId="0" fillId="10" borderId="5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2" fontId="6" fillId="9" borderId="5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71" fontId="0" fillId="9" borderId="5" xfId="0" applyNumberFormat="1" applyFill="1" applyBorder="1" applyAlignment="1">
      <alignment horizontal="right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10" borderId="4" xfId="0" applyFill="1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7</xdr:col>
      <xdr:colOff>466069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77064-CD34-4602-A8C1-A5AFAD49B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4775"/>
          <a:ext cx="4609444" cy="220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458667</xdr:colOff>
      <xdr:row>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D0DB1-FC34-4DEB-AB28-CE7E9686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16267" cy="1876425"/>
        </a:xfrm>
        <a:prstGeom prst="rect">
          <a:avLst/>
        </a:prstGeom>
      </xdr:spPr>
    </xdr:pic>
    <xdr:clientData/>
  </xdr:twoCellAnchor>
  <xdr:twoCellAnchor>
    <xdr:from>
      <xdr:col>10</xdr:col>
      <xdr:colOff>485774</xdr:colOff>
      <xdr:row>11</xdr:row>
      <xdr:rowOff>57150</xdr:rowOff>
    </xdr:from>
    <xdr:to>
      <xdr:col>13</xdr:col>
      <xdr:colOff>228599</xdr:colOff>
      <xdr:row>12</xdr:row>
      <xdr:rowOff>57150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9DA81265-DED4-4725-B780-553D61964C57}"/>
            </a:ext>
          </a:extLst>
        </xdr:cNvPr>
        <xdr:cNvSpPr txBox="1">
          <a:spLocks noChangeArrowheads="1"/>
        </xdr:cNvSpPr>
      </xdr:nvSpPr>
      <xdr:spPr bwMode="auto">
        <a:xfrm>
          <a:off x="6581774" y="2276475"/>
          <a:ext cx="15716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=CHISQ.TEST(J6:K7, O6:P7)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6</xdr:col>
      <xdr:colOff>563442</xdr:colOff>
      <xdr:row>9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40124-232E-4D10-9BF4-87D53639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50"/>
          <a:ext cx="4116267" cy="1876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9</xdr:row>
      <xdr:rowOff>9525</xdr:rowOff>
    </xdr:from>
    <xdr:to>
      <xdr:col>14</xdr:col>
      <xdr:colOff>602273</xdr:colOff>
      <xdr:row>12</xdr:row>
      <xdr:rowOff>161693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94917-855F-4C6E-87C2-AEB8AA3CB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0" y="1790700"/>
          <a:ext cx="2697773" cy="73319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12</xdr:row>
      <xdr:rowOff>180975</xdr:rowOff>
    </xdr:from>
    <xdr:to>
      <xdr:col>15</xdr:col>
      <xdr:colOff>371475</xdr:colOff>
      <xdr:row>14</xdr:row>
      <xdr:rowOff>5621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C94FFA-74FD-4455-BD96-11604F44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9925" y="2600325"/>
          <a:ext cx="2533650" cy="224696"/>
        </a:xfrm>
        <a:prstGeom prst="rect">
          <a:avLst/>
        </a:prstGeom>
      </xdr:spPr>
    </xdr:pic>
    <xdr:clientData/>
  </xdr:twoCellAnchor>
  <xdr:twoCellAnchor>
    <xdr:from>
      <xdr:col>16</xdr:col>
      <xdr:colOff>9525</xdr:colOff>
      <xdr:row>11</xdr:row>
      <xdr:rowOff>38099</xdr:rowOff>
    </xdr:from>
    <xdr:to>
      <xdr:col>18</xdr:col>
      <xdr:colOff>9525</xdr:colOff>
      <xdr:row>12</xdr:row>
      <xdr:rowOff>47624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2429C7E9-DD06-4983-8169-C179320A8AF5}"/>
            </a:ext>
          </a:extLst>
        </xdr:cNvPr>
        <xdr:cNvSpPr txBox="1">
          <a:spLocks noChangeArrowheads="1"/>
        </xdr:cNvSpPr>
      </xdr:nvSpPr>
      <xdr:spPr bwMode="auto">
        <a:xfrm>
          <a:off x="9801225" y="2266949"/>
          <a:ext cx="13525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=CHISQ.INV.RT(0.05, 1)</a:t>
          </a:r>
        </a:p>
      </xdr:txBody>
    </xdr:sp>
    <xdr:clientData/>
  </xdr:twoCellAnchor>
  <xdr:twoCellAnchor>
    <xdr:from>
      <xdr:col>14</xdr:col>
      <xdr:colOff>609599</xdr:colOff>
      <xdr:row>14</xdr:row>
      <xdr:rowOff>19050</xdr:rowOff>
    </xdr:from>
    <xdr:to>
      <xdr:col>18</xdr:col>
      <xdr:colOff>352425</xdr:colOff>
      <xdr:row>15</xdr:row>
      <xdr:rowOff>28575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EA5E38BB-B53F-40A7-8DB5-B27F8FFE3AB1}"/>
            </a:ext>
          </a:extLst>
        </xdr:cNvPr>
        <xdr:cNvSpPr txBox="1">
          <a:spLocks noChangeArrowheads="1"/>
        </xdr:cNvSpPr>
      </xdr:nvSpPr>
      <xdr:spPr bwMode="auto">
        <a:xfrm>
          <a:off x="9182099" y="2838450"/>
          <a:ext cx="2314576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=(COUNT(K6:K7) -1) * (COUNT(K6:L6)-1)</a:t>
          </a:r>
        </a:p>
      </xdr:txBody>
    </xdr:sp>
    <xdr:clientData/>
  </xdr:twoCellAnchor>
  <xdr:twoCellAnchor>
    <xdr:from>
      <xdr:col>11</xdr:col>
      <xdr:colOff>590549</xdr:colOff>
      <xdr:row>18</xdr:row>
      <xdr:rowOff>0</xdr:rowOff>
    </xdr:from>
    <xdr:to>
      <xdr:col>14</xdr:col>
      <xdr:colOff>9524</xdr:colOff>
      <xdr:row>19</xdr:row>
      <xdr:rowOff>9525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ED7A6ED4-67B9-44B4-A703-71A63EDD6CE1}"/>
            </a:ext>
          </a:extLst>
        </xdr:cNvPr>
        <xdr:cNvSpPr txBox="1">
          <a:spLocks noChangeArrowheads="1"/>
        </xdr:cNvSpPr>
      </xdr:nvSpPr>
      <xdr:spPr bwMode="auto">
        <a:xfrm>
          <a:off x="7029449" y="3571875"/>
          <a:ext cx="15525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=CHISQ.DIST.RT(0.7576, 1)</a:t>
          </a:r>
        </a:p>
      </xdr:txBody>
    </xdr:sp>
    <xdr:clientData/>
  </xdr:twoCellAnchor>
  <xdr:twoCellAnchor>
    <xdr:from>
      <xdr:col>11</xdr:col>
      <xdr:colOff>590550</xdr:colOff>
      <xdr:row>19</xdr:row>
      <xdr:rowOff>38100</xdr:rowOff>
    </xdr:from>
    <xdr:to>
      <xdr:col>14</xdr:col>
      <xdr:colOff>38100</xdr:colOff>
      <xdr:row>20</xdr:row>
      <xdr:rowOff>38100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099BC9B0-AE44-4BC7-91E6-17686F12D4AB}"/>
            </a:ext>
          </a:extLst>
        </xdr:cNvPr>
        <xdr:cNvSpPr txBox="1">
          <a:spLocks noChangeArrowheads="1"/>
        </xdr:cNvSpPr>
      </xdr:nvSpPr>
      <xdr:spPr bwMode="auto">
        <a:xfrm>
          <a:off x="7029450" y="3800475"/>
          <a:ext cx="15811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=CHISQ.TEST(K6:L7, P6:Q7)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5B9F-6196-4314-8A3B-9338F8445532}">
  <dimension ref="E1:P20"/>
  <sheetViews>
    <sheetView workbookViewId="0">
      <selection activeCell="J1" sqref="J1:M1"/>
    </sheetView>
  </sheetViews>
  <sheetFormatPr defaultRowHeight="15" x14ac:dyDescent="0.25"/>
  <cols>
    <col min="10" max="10" width="19.140625" bestFit="1" customWidth="1"/>
    <col min="11" max="11" width="7" bestFit="1" customWidth="1"/>
    <col min="12" max="12" width="5.42578125" bestFit="1" customWidth="1"/>
    <col min="13" max="13" width="8.85546875" bestFit="1" customWidth="1"/>
    <col min="14" max="14" width="13.85546875" customWidth="1"/>
    <col min="15" max="15" width="11.7109375" style="13" customWidth="1"/>
    <col min="16" max="16" width="12.85546875" customWidth="1"/>
  </cols>
  <sheetData>
    <row r="1" spans="5:16" ht="19.5" thickBot="1" x14ac:dyDescent="0.35">
      <c r="J1" s="10" t="s">
        <v>3</v>
      </c>
      <c r="K1" s="11"/>
      <c r="L1" s="11"/>
      <c r="M1" s="12"/>
    </row>
    <row r="6" spans="5:16" x14ac:dyDescent="0.25">
      <c r="J6" s="15" t="s">
        <v>3</v>
      </c>
      <c r="K6" s="16" t="s">
        <v>21</v>
      </c>
      <c r="L6" s="16">
        <v>0.05</v>
      </c>
      <c r="M6" s="15"/>
      <c r="N6" s="15"/>
      <c r="O6" s="15"/>
      <c r="P6" s="15"/>
    </row>
    <row r="7" spans="5:16" x14ac:dyDescent="0.25">
      <c r="J7" s="15"/>
      <c r="K7" s="15"/>
      <c r="L7" s="15"/>
      <c r="M7" s="15"/>
      <c r="N7" s="15"/>
      <c r="O7" s="15"/>
      <c r="P7" s="15"/>
    </row>
    <row r="8" spans="5:16" ht="15.75" thickBot="1" x14ac:dyDescent="0.3">
      <c r="J8" s="15" t="s">
        <v>4</v>
      </c>
      <c r="K8" s="15"/>
      <c r="L8" s="15"/>
      <c r="M8" s="15"/>
      <c r="N8" s="15"/>
      <c r="O8" s="15"/>
      <c r="P8" s="15"/>
    </row>
    <row r="9" spans="5:16" x14ac:dyDescent="0.25">
      <c r="J9" s="9" t="s">
        <v>5</v>
      </c>
      <c r="K9" s="9" t="s">
        <v>6</v>
      </c>
      <c r="L9" s="9" t="s">
        <v>7</v>
      </c>
      <c r="M9" s="9" t="s">
        <v>8</v>
      </c>
      <c r="N9" s="9" t="s">
        <v>9</v>
      </c>
      <c r="O9" s="15"/>
      <c r="P9" s="15"/>
    </row>
    <row r="10" spans="5:16" x14ac:dyDescent="0.25">
      <c r="J10" s="17" t="s">
        <v>0</v>
      </c>
      <c r="K10" s="17">
        <v>5</v>
      </c>
      <c r="L10" s="17">
        <v>1246</v>
      </c>
      <c r="M10" s="17">
        <v>249.2</v>
      </c>
      <c r="N10" s="17">
        <v>108.2</v>
      </c>
      <c r="O10" s="15"/>
      <c r="P10" s="15"/>
    </row>
    <row r="11" spans="5:16" x14ac:dyDescent="0.25">
      <c r="J11" s="17" t="s">
        <v>1</v>
      </c>
      <c r="K11" s="17">
        <v>5</v>
      </c>
      <c r="L11" s="17">
        <v>1130</v>
      </c>
      <c r="M11" s="17">
        <v>226</v>
      </c>
      <c r="N11" s="17">
        <v>77.5</v>
      </c>
      <c r="O11" s="15"/>
      <c r="P11" s="15"/>
    </row>
    <row r="12" spans="5:16" ht="15.75" thickBot="1" x14ac:dyDescent="0.3">
      <c r="J12" s="18" t="s">
        <v>2</v>
      </c>
      <c r="K12" s="18">
        <v>5</v>
      </c>
      <c r="L12" s="18">
        <v>1029</v>
      </c>
      <c r="M12" s="18">
        <v>205.8</v>
      </c>
      <c r="N12" s="18">
        <v>94.200000000000017</v>
      </c>
      <c r="O12" s="15"/>
      <c r="P12" s="15"/>
    </row>
    <row r="13" spans="5:16" x14ac:dyDescent="0.25">
      <c r="J13" s="15"/>
      <c r="K13" s="15"/>
      <c r="L13" s="15"/>
      <c r="M13" s="15"/>
      <c r="N13" s="15"/>
      <c r="O13" s="15"/>
      <c r="P13" s="15"/>
    </row>
    <row r="14" spans="5:16" ht="15.75" thickBot="1" x14ac:dyDescent="0.3">
      <c r="J14" s="15"/>
      <c r="K14" s="15"/>
      <c r="L14" s="15"/>
      <c r="M14" s="15"/>
      <c r="N14" s="15"/>
      <c r="O14" s="15"/>
      <c r="P14" s="15"/>
    </row>
    <row r="15" spans="5:16" ht="15.75" thickBot="1" x14ac:dyDescent="0.3">
      <c r="E15" s="7" t="s">
        <v>0</v>
      </c>
      <c r="F15" s="7" t="s">
        <v>1</v>
      </c>
      <c r="G15" s="8" t="s">
        <v>2</v>
      </c>
      <c r="J15" s="15" t="s">
        <v>10</v>
      </c>
      <c r="K15" s="15"/>
      <c r="L15" s="15"/>
      <c r="M15" s="15"/>
      <c r="N15" s="15"/>
      <c r="O15" s="15"/>
      <c r="P15" s="15"/>
    </row>
    <row r="16" spans="5:16" x14ac:dyDescent="0.25">
      <c r="E16" s="5">
        <v>254</v>
      </c>
      <c r="F16" s="5">
        <v>234</v>
      </c>
      <c r="G16" s="5">
        <v>200</v>
      </c>
      <c r="J16" s="9" t="s">
        <v>11</v>
      </c>
      <c r="K16" s="9" t="s">
        <v>12</v>
      </c>
      <c r="L16" s="9" t="s">
        <v>13</v>
      </c>
      <c r="M16" s="9" t="s">
        <v>14</v>
      </c>
      <c r="N16" s="9" t="s">
        <v>15</v>
      </c>
      <c r="O16" s="9" t="s">
        <v>16</v>
      </c>
      <c r="P16" s="9" t="s">
        <v>17</v>
      </c>
    </row>
    <row r="17" spans="5:16" x14ac:dyDescent="0.25">
      <c r="E17" s="6">
        <v>263</v>
      </c>
      <c r="F17" s="6">
        <v>218</v>
      </c>
      <c r="G17" s="6">
        <v>222</v>
      </c>
      <c r="J17" s="17" t="s">
        <v>18</v>
      </c>
      <c r="K17" s="17">
        <v>4716.3999999999996</v>
      </c>
      <c r="L17" s="17">
        <v>2</v>
      </c>
      <c r="M17" s="17">
        <v>2358.1999999999998</v>
      </c>
      <c r="N17" s="19">
        <v>25.275455519828508</v>
      </c>
      <c r="O17" s="20">
        <v>4.9852350460386917E-5</v>
      </c>
      <c r="P17" s="21">
        <v>3.8852938346523942</v>
      </c>
    </row>
    <row r="18" spans="5:16" x14ac:dyDescent="0.25">
      <c r="E18" s="6">
        <v>241</v>
      </c>
      <c r="F18" s="6">
        <v>235</v>
      </c>
      <c r="G18" s="6">
        <v>197</v>
      </c>
      <c r="J18" s="17" t="s">
        <v>19</v>
      </c>
      <c r="K18" s="17">
        <v>1119.5999999999999</v>
      </c>
      <c r="L18" s="17">
        <v>12</v>
      </c>
      <c r="M18" s="17">
        <v>93.3</v>
      </c>
      <c r="N18" s="17"/>
      <c r="O18" s="17"/>
      <c r="P18" s="17"/>
    </row>
    <row r="19" spans="5:16" x14ac:dyDescent="0.25">
      <c r="E19" s="6">
        <v>237</v>
      </c>
      <c r="F19" s="6">
        <v>227</v>
      </c>
      <c r="G19" s="6">
        <v>206</v>
      </c>
      <c r="J19" s="17"/>
      <c r="K19" s="17"/>
      <c r="L19" s="17"/>
      <c r="M19" s="17"/>
      <c r="N19" s="17"/>
      <c r="O19" s="17"/>
      <c r="P19" s="17"/>
    </row>
    <row r="20" spans="5:16" ht="15.75" thickBot="1" x14ac:dyDescent="0.3">
      <c r="E20" s="6">
        <v>251</v>
      </c>
      <c r="F20" s="6">
        <v>216</v>
      </c>
      <c r="G20" s="6">
        <v>204</v>
      </c>
      <c r="J20" s="18" t="s">
        <v>20</v>
      </c>
      <c r="K20" s="18">
        <v>5836</v>
      </c>
      <c r="L20" s="18">
        <v>14</v>
      </c>
      <c r="M20" s="18"/>
      <c r="N20" s="18"/>
      <c r="O20" s="18"/>
      <c r="P20" s="18"/>
    </row>
  </sheetData>
  <mergeCells count="1">
    <mergeCell ref="J1:M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2C29-56B9-4B15-AA00-F2D1F809A928}">
  <dimension ref="C1:Q16"/>
  <sheetViews>
    <sheetView workbookViewId="0">
      <selection activeCell="P22" sqref="P22"/>
    </sheetView>
  </sheetViews>
  <sheetFormatPr defaultRowHeight="15" x14ac:dyDescent="0.25"/>
  <sheetData>
    <row r="1" spans="3:17" ht="19.5" thickBot="1" x14ac:dyDescent="0.35">
      <c r="K1" s="10" t="s">
        <v>42</v>
      </c>
      <c r="L1" s="11"/>
      <c r="M1" s="12"/>
    </row>
    <row r="3" spans="3:17" ht="15.75" thickBot="1" x14ac:dyDescent="0.3">
      <c r="J3" s="38" t="s">
        <v>28</v>
      </c>
      <c r="K3" s="38"/>
      <c r="O3" s="38" t="s">
        <v>29</v>
      </c>
      <c r="P3" s="38"/>
    </row>
    <row r="4" spans="3:17" ht="15.75" thickBot="1" x14ac:dyDescent="0.3">
      <c r="I4" s="25" t="s">
        <v>22</v>
      </c>
      <c r="J4" s="23" t="s">
        <v>23</v>
      </c>
      <c r="K4" s="24"/>
      <c r="L4" s="32" t="s">
        <v>7</v>
      </c>
      <c r="N4" s="25" t="s">
        <v>22</v>
      </c>
      <c r="O4" s="23" t="s">
        <v>23</v>
      </c>
      <c r="P4" s="24"/>
      <c r="Q4" s="32" t="s">
        <v>7</v>
      </c>
    </row>
    <row r="5" spans="3:17" ht="15.75" thickBot="1" x14ac:dyDescent="0.3">
      <c r="I5" s="26"/>
      <c r="J5" s="1" t="s">
        <v>24</v>
      </c>
      <c r="K5" s="2" t="s">
        <v>25</v>
      </c>
      <c r="L5" s="33"/>
      <c r="N5" s="26"/>
      <c r="O5" s="1" t="s">
        <v>24</v>
      </c>
      <c r="P5" s="2" t="s">
        <v>25</v>
      </c>
      <c r="Q5" s="33"/>
    </row>
    <row r="6" spans="3:17" ht="15.75" thickBot="1" x14ac:dyDescent="0.3">
      <c r="I6" s="1" t="s">
        <v>27</v>
      </c>
      <c r="J6" s="28">
        <v>12</v>
      </c>
      <c r="K6" s="29">
        <v>108</v>
      </c>
      <c r="L6" s="34">
        <f>SUM(J6:K6)</f>
        <v>120</v>
      </c>
      <c r="N6" s="1" t="s">
        <v>27</v>
      </c>
      <c r="O6" s="28">
        <f>L6*J8/L8</f>
        <v>14.4</v>
      </c>
      <c r="P6" s="28">
        <f>L6*K8/L8</f>
        <v>105.6</v>
      </c>
      <c r="Q6" s="34"/>
    </row>
    <row r="7" spans="3:17" ht="15.75" thickBot="1" x14ac:dyDescent="0.3">
      <c r="I7" s="1" t="s">
        <v>26</v>
      </c>
      <c r="J7" s="30">
        <v>24</v>
      </c>
      <c r="K7" s="31">
        <v>156</v>
      </c>
      <c r="L7" s="35">
        <f>SUM(J7:K7)</f>
        <v>180</v>
      </c>
      <c r="N7" s="1" t="s">
        <v>26</v>
      </c>
      <c r="O7" s="28">
        <f>L7*J8/L8</f>
        <v>21.6</v>
      </c>
      <c r="P7" s="28">
        <f>L7*K8/L8</f>
        <v>158.4</v>
      </c>
      <c r="Q7" s="35"/>
    </row>
    <row r="8" spans="3:17" ht="15.75" thickBot="1" x14ac:dyDescent="0.3">
      <c r="I8" s="36" t="s">
        <v>7</v>
      </c>
      <c r="J8" s="37">
        <f>SUM(J6:J7)</f>
        <v>36</v>
      </c>
      <c r="K8" s="35">
        <f>SUM(K6:K7)</f>
        <v>264</v>
      </c>
      <c r="L8" s="35">
        <f>SUM(L6:L7)</f>
        <v>300</v>
      </c>
      <c r="N8" s="36" t="s">
        <v>7</v>
      </c>
      <c r="O8" s="37"/>
      <c r="P8" s="35"/>
      <c r="Q8" s="35"/>
    </row>
    <row r="10" spans="3:17" ht="15.75" thickBot="1" x14ac:dyDescent="0.3">
      <c r="L10" s="72" t="s">
        <v>43</v>
      </c>
      <c r="M10" s="72"/>
    </row>
    <row r="11" spans="3:17" ht="15.75" thickBot="1" x14ac:dyDescent="0.3">
      <c r="L11" s="71">
        <f>_xlfn.CHISQ.TEST(J6:K7, O6:P7)</f>
        <v>0.38408824947385201</v>
      </c>
      <c r="M11" s="71"/>
      <c r="N11" s="63" t="s">
        <v>45</v>
      </c>
      <c r="O11" s="75" t="s">
        <v>35</v>
      </c>
      <c r="P11" s="67"/>
    </row>
    <row r="12" spans="3:17" ht="15.75" thickBot="1" x14ac:dyDescent="0.3">
      <c r="C12" s="25" t="s">
        <v>22</v>
      </c>
      <c r="D12" s="23" t="s">
        <v>23</v>
      </c>
      <c r="E12" s="24"/>
      <c r="F12" s="32" t="s">
        <v>7</v>
      </c>
    </row>
    <row r="13" spans="3:17" ht="15.75" thickBot="1" x14ac:dyDescent="0.3">
      <c r="C13" s="26"/>
      <c r="D13" s="1" t="s">
        <v>24</v>
      </c>
      <c r="E13" s="2" t="s">
        <v>25</v>
      </c>
      <c r="F13" s="33"/>
    </row>
    <row r="14" spans="3:17" ht="15.75" thickBot="1" x14ac:dyDescent="0.3">
      <c r="C14" s="1" t="s">
        <v>27</v>
      </c>
      <c r="D14" s="28">
        <v>12</v>
      </c>
      <c r="E14" s="29">
        <v>108</v>
      </c>
      <c r="F14" s="34">
        <f>SUM(D14:E14)</f>
        <v>120</v>
      </c>
    </row>
    <row r="15" spans="3:17" ht="15.75" thickBot="1" x14ac:dyDescent="0.3">
      <c r="C15" s="1" t="s">
        <v>26</v>
      </c>
      <c r="D15" s="30">
        <v>24</v>
      </c>
      <c r="E15" s="31">
        <v>156</v>
      </c>
      <c r="F15" s="35">
        <f>SUM(D15:E15)</f>
        <v>180</v>
      </c>
    </row>
    <row r="16" spans="3:17" ht="15.75" thickBot="1" x14ac:dyDescent="0.3">
      <c r="C16" s="36" t="s">
        <v>7</v>
      </c>
      <c r="D16" s="37">
        <f>SUM(D14:D15)</f>
        <v>36</v>
      </c>
      <c r="E16" s="35">
        <f>SUM(E14:E15)</f>
        <v>264</v>
      </c>
      <c r="F16" s="35">
        <f>SUM(F14:F15)</f>
        <v>300</v>
      </c>
    </row>
  </sheetData>
  <mergeCells count="15">
    <mergeCell ref="Q4:Q5"/>
    <mergeCell ref="K1:M1"/>
    <mergeCell ref="L11:M11"/>
    <mergeCell ref="L10:M10"/>
    <mergeCell ref="O11:P11"/>
    <mergeCell ref="C12:C13"/>
    <mergeCell ref="D12:E12"/>
    <mergeCell ref="F12:F13"/>
    <mergeCell ref="J3:K3"/>
    <mergeCell ref="O3:P3"/>
    <mergeCell ref="I4:I5"/>
    <mergeCell ref="J4:K4"/>
    <mergeCell ref="L4:L5"/>
    <mergeCell ref="N4:N5"/>
    <mergeCell ref="O4:P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D281-F1DE-481F-8297-A7064F20A984}">
  <dimension ref="C1:S20"/>
  <sheetViews>
    <sheetView tabSelected="1" zoomScaleNormal="100" workbookViewId="0">
      <selection activeCell="U17" sqref="U17"/>
    </sheetView>
  </sheetViews>
  <sheetFormatPr defaultRowHeight="15" x14ac:dyDescent="0.25"/>
  <cols>
    <col min="7" max="7" width="9.140625" customWidth="1"/>
    <col min="8" max="8" width="0.85546875" customWidth="1"/>
    <col min="9" max="9" width="11.42578125" bestFit="1" customWidth="1"/>
    <col min="10" max="10" width="9.140625" customWidth="1"/>
    <col min="11" max="11" width="11.140625" bestFit="1" customWidth="1"/>
    <col min="14" max="14" width="13.7109375" bestFit="1" customWidth="1"/>
    <col min="17" max="17" width="11.140625" bestFit="1" customWidth="1"/>
  </cols>
  <sheetData>
    <row r="1" spans="3:18" ht="19.5" thickBot="1" x14ac:dyDescent="0.35">
      <c r="L1" s="10" t="s">
        <v>42</v>
      </c>
      <c r="M1" s="11"/>
      <c r="N1" s="12"/>
    </row>
    <row r="3" spans="3:18" ht="15.75" thickBot="1" x14ac:dyDescent="0.3">
      <c r="K3" s="38" t="s">
        <v>28</v>
      </c>
      <c r="L3" s="38"/>
      <c r="P3" s="38" t="s">
        <v>29</v>
      </c>
      <c r="Q3" s="38"/>
    </row>
    <row r="4" spans="3:18" ht="15.75" thickBot="1" x14ac:dyDescent="0.3">
      <c r="J4" s="25" t="s">
        <v>22</v>
      </c>
      <c r="K4" s="23" t="s">
        <v>23</v>
      </c>
      <c r="L4" s="24"/>
      <c r="M4" s="32" t="s">
        <v>7</v>
      </c>
      <c r="O4" s="25" t="s">
        <v>22</v>
      </c>
      <c r="P4" s="23" t="s">
        <v>23</v>
      </c>
      <c r="Q4" s="24"/>
      <c r="R4" s="32" t="s">
        <v>7</v>
      </c>
    </row>
    <row r="5" spans="3:18" ht="15.75" thickBot="1" x14ac:dyDescent="0.3">
      <c r="J5" s="26"/>
      <c r="K5" s="1" t="s">
        <v>24</v>
      </c>
      <c r="L5" s="2" t="s">
        <v>25</v>
      </c>
      <c r="M5" s="33"/>
      <c r="O5" s="26"/>
      <c r="P5" s="1" t="s">
        <v>24</v>
      </c>
      <c r="Q5" s="2" t="s">
        <v>25</v>
      </c>
      <c r="R5" s="33"/>
    </row>
    <row r="6" spans="3:18" ht="15.75" thickBot="1" x14ac:dyDescent="0.3">
      <c r="J6" s="1" t="s">
        <v>27</v>
      </c>
      <c r="K6" s="28">
        <v>12</v>
      </c>
      <c r="L6" s="29">
        <v>108</v>
      </c>
      <c r="M6" s="34">
        <f>SUM(K6:L6)</f>
        <v>120</v>
      </c>
      <c r="O6" s="1" t="s">
        <v>27</v>
      </c>
      <c r="P6" s="28">
        <f>M6*K8/M8</f>
        <v>14.4</v>
      </c>
      <c r="Q6" s="28">
        <f>M6*L8/M8</f>
        <v>105.6</v>
      </c>
      <c r="R6" s="34"/>
    </row>
    <row r="7" spans="3:18" ht="15.75" thickBot="1" x14ac:dyDescent="0.3">
      <c r="J7" s="1" t="s">
        <v>26</v>
      </c>
      <c r="K7" s="30">
        <v>24</v>
      </c>
      <c r="L7" s="31">
        <v>156</v>
      </c>
      <c r="M7" s="35">
        <f>SUM(K7:L7)</f>
        <v>180</v>
      </c>
      <c r="O7" s="1" t="s">
        <v>26</v>
      </c>
      <c r="P7" s="28">
        <f>M7*K8/M8</f>
        <v>21.6</v>
      </c>
      <c r="Q7" s="28">
        <f>M7*L8/M8</f>
        <v>158.4</v>
      </c>
      <c r="R7" s="35"/>
    </row>
    <row r="8" spans="3:18" ht="15.75" thickBot="1" x14ac:dyDescent="0.3">
      <c r="J8" s="36" t="s">
        <v>7</v>
      </c>
      <c r="K8" s="37">
        <f>SUM(K6:K7)</f>
        <v>36</v>
      </c>
      <c r="L8" s="35">
        <f>SUM(L6:L7)</f>
        <v>264</v>
      </c>
      <c r="M8" s="35">
        <f>SUM(M6:M7)</f>
        <v>300</v>
      </c>
      <c r="O8" s="36" t="s">
        <v>7</v>
      </c>
      <c r="P8" s="37"/>
      <c r="Q8" s="35"/>
      <c r="R8" s="35"/>
    </row>
    <row r="9" spans="3:18" ht="15.75" thickBot="1" x14ac:dyDescent="0.3"/>
    <row r="10" spans="3:18" ht="15.75" thickBot="1" x14ac:dyDescent="0.3">
      <c r="J10" s="23" t="s">
        <v>30</v>
      </c>
      <c r="K10" s="24"/>
      <c r="Q10" s="14" t="s">
        <v>21</v>
      </c>
      <c r="R10" s="16">
        <v>0.05</v>
      </c>
    </row>
    <row r="11" spans="3:18" x14ac:dyDescent="0.25">
      <c r="J11" s="3">
        <f>(K6-P6)^2/P6</f>
        <v>0.40000000000000008</v>
      </c>
      <c r="K11" s="3">
        <f>(L6-Q6)^2/Q6</f>
        <v>5.4545454545454806E-2</v>
      </c>
      <c r="Q11" s="48" t="s">
        <v>34</v>
      </c>
      <c r="R11" s="16">
        <f>_xlfn.CHISQ.INV.RT(0.05, 1)</f>
        <v>3.8414588206941236</v>
      </c>
    </row>
    <row r="12" spans="3:18" x14ac:dyDescent="0.25">
      <c r="J12" s="4">
        <f>(K7-P7)^2/P7</f>
        <v>0.26666666666666633</v>
      </c>
      <c r="K12" s="4">
        <f>(L7-Q7)^2/Q7</f>
        <v>3.6363636363636535E-2</v>
      </c>
    </row>
    <row r="13" spans="3:18" ht="15.75" thickBot="1" x14ac:dyDescent="0.3">
      <c r="I13" s="39" t="s">
        <v>32</v>
      </c>
      <c r="J13" s="40">
        <f>SUM(J11:K12)</f>
        <v>0.75757575757575768</v>
      </c>
      <c r="K13" s="41"/>
    </row>
    <row r="14" spans="3:18" ht="15.75" thickBot="1" x14ac:dyDescent="0.3">
      <c r="C14" s="25" t="s">
        <v>22</v>
      </c>
      <c r="D14" s="23" t="s">
        <v>23</v>
      </c>
      <c r="E14" s="24"/>
      <c r="F14" s="32" t="s">
        <v>7</v>
      </c>
      <c r="P14" s="39" t="s">
        <v>31</v>
      </c>
      <c r="Q14" s="62">
        <f>(COUNT(K6:K7) -1) * (COUNT(K6:L6)-1)</f>
        <v>1</v>
      </c>
      <c r="R14" s="62"/>
    </row>
    <row r="15" spans="3:18" ht="15.75" thickBot="1" x14ac:dyDescent="0.3">
      <c r="C15" s="26"/>
      <c r="D15" s="1" t="s">
        <v>24</v>
      </c>
      <c r="E15" s="2" t="s">
        <v>25</v>
      </c>
      <c r="F15" s="33"/>
      <c r="J15" s="22"/>
      <c r="K15" s="22"/>
    </row>
    <row r="16" spans="3:18" ht="15.75" thickBot="1" x14ac:dyDescent="0.3">
      <c r="C16" s="1" t="s">
        <v>27</v>
      </c>
      <c r="D16" s="28">
        <v>12</v>
      </c>
      <c r="E16" s="29">
        <v>108</v>
      </c>
      <c r="F16" s="34">
        <f>SUM(D16:E16)</f>
        <v>120</v>
      </c>
    </row>
    <row r="17" spans="3:19" ht="16.5" thickBot="1" x14ac:dyDescent="0.3">
      <c r="C17" s="1" t="s">
        <v>26</v>
      </c>
      <c r="D17" s="30">
        <v>24</v>
      </c>
      <c r="E17" s="31">
        <v>156</v>
      </c>
      <c r="F17" s="35">
        <f>SUM(D17:E17)</f>
        <v>180</v>
      </c>
      <c r="I17" s="42" t="s">
        <v>33</v>
      </c>
      <c r="J17" s="43"/>
      <c r="K17" s="44" t="s">
        <v>44</v>
      </c>
      <c r="L17" s="44"/>
      <c r="M17" s="60">
        <f>J13</f>
        <v>0.75757575757575768</v>
      </c>
      <c r="N17" s="49" t="s">
        <v>36</v>
      </c>
      <c r="O17" s="45">
        <f>R11</f>
        <v>3.8414588206941236</v>
      </c>
      <c r="P17" s="46" t="s">
        <v>35</v>
      </c>
      <c r="Q17" s="47"/>
    </row>
    <row r="18" spans="3:19" ht="15.75" thickBot="1" x14ac:dyDescent="0.3">
      <c r="C18" s="36" t="s">
        <v>7</v>
      </c>
      <c r="D18" s="37">
        <f>SUM(D16:D17)</f>
        <v>36</v>
      </c>
      <c r="E18" s="35">
        <f>SUM(E16:E17)</f>
        <v>264</v>
      </c>
      <c r="F18" s="35">
        <f>SUM(F16:F17)</f>
        <v>300</v>
      </c>
      <c r="I18" s="50" t="s">
        <v>37</v>
      </c>
      <c r="J18" s="51"/>
      <c r="K18" s="52" t="s">
        <v>38</v>
      </c>
      <c r="L18" s="44" t="s">
        <v>40</v>
      </c>
      <c r="M18" s="44"/>
      <c r="N18" s="53" t="s">
        <v>41</v>
      </c>
      <c r="O18" s="53"/>
      <c r="P18" s="53" t="s">
        <v>45</v>
      </c>
      <c r="Q18" s="54" t="s">
        <v>39</v>
      </c>
      <c r="R18" s="46" t="s">
        <v>35</v>
      </c>
      <c r="S18" s="47"/>
    </row>
    <row r="19" spans="3:19" x14ac:dyDescent="0.25">
      <c r="I19" s="27"/>
      <c r="J19" s="61"/>
      <c r="K19" s="65"/>
      <c r="L19" s="66" t="s">
        <v>38</v>
      </c>
      <c r="M19" s="65"/>
      <c r="N19" s="65"/>
      <c r="O19" s="68">
        <f>_xlfn.CHISQ.DIST.RT(0.7576, 1)</f>
        <v>0.38408064163181699</v>
      </c>
      <c r="P19" s="63" t="s">
        <v>45</v>
      </c>
      <c r="Q19" s="64" t="s">
        <v>39</v>
      </c>
      <c r="R19" s="69" t="s">
        <v>35</v>
      </c>
      <c r="S19" s="70"/>
    </row>
    <row r="20" spans="3:19" ht="15.75" thickBot="1" x14ac:dyDescent="0.3">
      <c r="I20" s="55"/>
      <c r="J20" s="56"/>
      <c r="K20" s="56"/>
      <c r="L20" s="57" t="s">
        <v>38</v>
      </c>
      <c r="M20" s="56"/>
      <c r="N20" s="56"/>
      <c r="O20" s="56">
        <f>_xlfn.CHISQ.TEST(K6:L7, P6:Q7)</f>
        <v>0.38408824947385201</v>
      </c>
      <c r="P20" s="58" t="s">
        <v>45</v>
      </c>
      <c r="Q20" s="59" t="s">
        <v>39</v>
      </c>
      <c r="R20" s="73" t="s">
        <v>35</v>
      </c>
      <c r="S20" s="74"/>
    </row>
  </sheetData>
  <mergeCells count="23">
    <mergeCell ref="L18:M18"/>
    <mergeCell ref="R18:S18"/>
    <mergeCell ref="R19:S19"/>
    <mergeCell ref="I18:I20"/>
    <mergeCell ref="L1:N1"/>
    <mergeCell ref="R20:S20"/>
    <mergeCell ref="R4:R5"/>
    <mergeCell ref="J13:K13"/>
    <mergeCell ref="J10:K10"/>
    <mergeCell ref="J15:K15"/>
    <mergeCell ref="Q14:R14"/>
    <mergeCell ref="K17:L17"/>
    <mergeCell ref="P17:Q17"/>
    <mergeCell ref="J4:J5"/>
    <mergeCell ref="K4:L4"/>
    <mergeCell ref="M4:M5"/>
    <mergeCell ref="K3:L3"/>
    <mergeCell ref="P3:Q3"/>
    <mergeCell ref="O4:O5"/>
    <mergeCell ref="P4:Q4"/>
    <mergeCell ref="C14:C15"/>
    <mergeCell ref="D14:E14"/>
    <mergeCell ref="F14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Anova test</vt:lpstr>
      <vt:lpstr>Chi-square test_1</vt:lpstr>
      <vt:lpstr>Chi-square test_2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2025-08-25T08:29:43Z</dcterms:created>
  <dcterms:modified xsi:type="dcterms:W3CDTF">2025-08-25T18:33:36Z</dcterms:modified>
</cp:coreProperties>
</file>
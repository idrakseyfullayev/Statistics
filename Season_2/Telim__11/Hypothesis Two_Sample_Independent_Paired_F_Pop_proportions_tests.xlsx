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xcel\Handex Excel\Statistics\Season_2\Telim_11\"/>
    </mc:Choice>
  </mc:AlternateContent>
  <xr:revisionPtr revIDLastSave="0" documentId="13_ncr:1_{B28000D8-4628-4A02-8BF5-6C04EDEEDEE6}" xr6:coauthVersionLast="45" xr6:coauthVersionMax="45" xr10:uidLastSave="{00000000-0000-0000-0000-000000000000}"/>
  <bookViews>
    <workbookView xWindow="-120" yWindow="-120" windowWidth="20730" windowHeight="11160" firstSheet="3" activeTab="4" xr2:uid="{F0553CAD-9D84-434F-A47C-AC5F29D45A14}"/>
  </bookViews>
  <sheets>
    <sheet name="t-Test  Two-Sam Assum Equal Var" sheetId="1" r:id="rId1"/>
    <sheet name="t-Test Two-Sam not As Equal Var" sheetId="2" r:id="rId2"/>
    <sheet name="The Paired Difference test" sheetId="3" r:id="rId3"/>
    <sheet name="Variance F test" sheetId="4" r:id="rId4"/>
    <sheet name="Population proportions_1" sheetId="5" r:id="rId5"/>
    <sheet name="Population proportions_2" sheetId="6" r:id="rId6"/>
  </sheets>
  <definedNames>
    <definedName name="P_one_tail">'Variance F test'!$J$14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20" i="6" l="1"/>
  <c r="O20" i="6"/>
  <c r="L18" i="5"/>
  <c r="O10" i="5"/>
  <c r="M10" i="5"/>
  <c r="O19" i="6"/>
  <c r="O18" i="6"/>
  <c r="N17" i="6"/>
  <c r="M17" i="6"/>
  <c r="N8" i="6" l="1"/>
  <c r="J14" i="6"/>
  <c r="J10" i="6"/>
  <c r="J7" i="6"/>
  <c r="I6" i="5"/>
  <c r="L16" i="5"/>
  <c r="I13" i="5"/>
  <c r="L8" i="5"/>
  <c r="L7" i="5"/>
  <c r="I7" i="5"/>
  <c r="I10" i="5"/>
  <c r="K14" i="4" l="1"/>
</calcChain>
</file>

<file path=xl/sharedStrings.xml><?xml version="1.0" encoding="utf-8"?>
<sst xmlns="http://schemas.openxmlformats.org/spreadsheetml/2006/main" count="114" uniqueCount="67">
  <si>
    <t>t-Test: Two-Sample Assuming Equal Variances</t>
  </si>
  <si>
    <t>Variable 1</t>
  </si>
  <si>
    <t>Variable 2</t>
  </si>
  <si>
    <t>Mean</t>
  </si>
  <si>
    <t>Variance</t>
  </si>
  <si>
    <t>Observations</t>
  </si>
  <si>
    <t>Pooled Variance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</si>
  <si>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</si>
  <si>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</si>
  <si>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</si>
  <si>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</si>
  <si>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</si>
  <si>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</si>
  <si>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</si>
  <si>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t-Test: Two-Sample Assuming Unequal Variances</t>
  </si>
  <si>
    <t>t-Test: Two-Sample not Assuming Equal Variances</t>
  </si>
  <si>
    <t>Salesperson</t>
  </si>
  <si>
    <t>Number of Complaints:</t>
  </si>
  <si>
    <t>Before(1)</t>
  </si>
  <si>
    <t>After(2)</t>
  </si>
  <si>
    <t>C.B</t>
  </si>
  <si>
    <t>T.F</t>
  </si>
  <si>
    <t>M.H</t>
  </si>
  <si>
    <t>R.K</t>
  </si>
  <si>
    <t>M.O</t>
  </si>
  <si>
    <t>t-Test: Paired Two Sample for Means</t>
  </si>
  <si>
    <t>Pearson Correlation</t>
  </si>
  <si>
    <t>F-Test Two-Sample for Variances</t>
  </si>
  <si>
    <t>F</t>
  </si>
  <si>
    <t>P(F&lt;=f) one-tail</t>
  </si>
  <si>
    <t>F Critical one-tail</t>
  </si>
  <si>
    <t>alfa=</t>
  </si>
  <si>
    <t>P  two-tail</t>
  </si>
  <si>
    <t>Random Sample=</t>
  </si>
  <si>
    <t>for 95%    Z_alfa/2=</t>
  </si>
  <si>
    <t>Shows left handed=</t>
  </si>
  <si>
    <t>P=</t>
  </si>
  <si>
    <t>1-P=</t>
  </si>
  <si>
    <t>n=</t>
  </si>
  <si>
    <t>Condifence Inteval for the true proportion of left-handers &amp; Determining Sample Size</t>
  </si>
  <si>
    <t xml:space="preserve">e = </t>
  </si>
  <si>
    <t>Z test for Proportion</t>
  </si>
  <si>
    <t>responses number=</t>
  </si>
  <si>
    <t xml:space="preserve">Receives responses   %= </t>
  </si>
  <si>
    <t>Real Receives responses   %=</t>
  </si>
  <si>
    <t>p=</t>
  </si>
  <si>
    <t>p_=</t>
  </si>
  <si>
    <t>1 st method</t>
  </si>
  <si>
    <t xml:space="preserve">Z_stat </t>
  </si>
  <si>
    <t>Reject H0</t>
  </si>
  <si>
    <t>2 nd method</t>
  </si>
  <si>
    <t>p-value</t>
  </si>
  <si>
    <t>alfa</t>
  </si>
  <si>
    <t>from Z table</t>
  </si>
  <si>
    <t>P(Z_stat)*2</t>
  </si>
  <si>
    <t>&lt;    0.05</t>
  </si>
  <si>
    <t>Between</t>
  </si>
  <si>
    <t>and</t>
  </si>
  <si>
    <t>Sample size must bee</t>
  </si>
  <si>
    <t xml:space="preserve">H0: M  </t>
  </si>
  <si>
    <t xml:space="preserve">H1: M  </t>
  </si>
  <si>
    <t>0.08   !=</t>
  </si>
  <si>
    <t>0.08    =</t>
  </si>
  <si>
    <t>3 thd method</t>
  </si>
  <si>
    <t>for 95%</t>
  </si>
  <si>
    <t>If H0: M  =  0.08   not in</t>
  </si>
  <si>
    <t>&lt;=   H0: M  &lt;=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</si>
</sst>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.0000"/>
    <numFmt numFmtId="168" formatCode="0.000"/>
  </numFmts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Fill="1" applyBorder="1" applyAlignment="1"/>
    <xf numFmtId="0" fontId="1" fillId="0" borderId="2" xfId="0" applyFont="1" applyFill="1" applyBorder="1" applyAlignment="1">
      <alignment horizontal="center"/>
    </xf>
    <xf numFmtId="0" fontId="0" fillId="3" borderId="0" xfId="0" applyFill="1"/>
    <xf numFmtId="0" fontId="0" fillId="4" borderId="0" xfId="0" applyFill="1" applyBorder="1" applyAlignment="1"/>
    <xf numFmtId="0" fontId="0" fillId="2" borderId="0" xfId="0" applyFill="1" applyBorder="1" applyAlignment="1"/>
    <xf numFmtId="0" fontId="0" fillId="2" borderId="1" xfId="0" applyFill="1" applyBorder="1" applyAlignment="1"/>
    <xf numFmtId="0" fontId="0" fillId="5" borderId="0" xfId="0" applyFill="1" applyBorder="1" applyAlignment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2" borderId="5" xfId="0" applyFont="1" applyFill="1" applyBorder="1" applyAlignment="1">
      <alignment horizontal="center"/>
    </xf>
    <xf numFmtId="0" fontId="0" fillId="3" borderId="0" xfId="0" applyFill="1" applyAlignment="1">
      <alignment horizontal="right"/>
    </xf>
    <xf numFmtId="0" fontId="0" fillId="3" borderId="0" xfId="0" applyFill="1" applyAlignment="1">
      <alignment horizontal="left"/>
    </xf>
    <xf numFmtId="0" fontId="0" fillId="6" borderId="0" xfId="0" applyFill="1"/>
    <xf numFmtId="0" fontId="0" fillId="6" borderId="0" xfId="0" applyFill="1" applyBorder="1" applyAlignment="1"/>
    <xf numFmtId="0" fontId="0" fillId="6" borderId="0" xfId="0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Fill="1" applyBorder="1" applyAlignment="1">
      <alignment horizontal="right"/>
    </xf>
    <xf numFmtId="167" fontId="0" fillId="6" borderId="0" xfId="0" applyNumberFormat="1" applyFill="1"/>
    <xf numFmtId="0" fontId="0" fillId="0" borderId="14" xfId="0" applyBorder="1"/>
    <xf numFmtId="0" fontId="0" fillId="6" borderId="14" xfId="0" applyFill="1" applyBorder="1" applyAlignment="1">
      <alignment horizontal="center"/>
    </xf>
    <xf numFmtId="168" fontId="0" fillId="7" borderId="14" xfId="0" applyNumberFormat="1" applyFill="1" applyBorder="1" applyAlignment="1">
      <alignment horizontal="left"/>
    </xf>
    <xf numFmtId="0" fontId="0" fillId="8" borderId="14" xfId="0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8" borderId="14" xfId="0" applyFill="1" applyBorder="1" applyAlignment="1">
      <alignment horizontal="center"/>
    </xf>
    <xf numFmtId="168" fontId="0" fillId="7" borderId="14" xfId="0" applyNumberFormat="1" applyFill="1" applyBorder="1" applyAlignment="1">
      <alignment horizontal="right"/>
    </xf>
    <xf numFmtId="0" fontId="0" fillId="7" borderId="14" xfId="0" applyFill="1" applyBorder="1" applyAlignment="1">
      <alignment horizontal="center"/>
    </xf>
    <xf numFmtId="2" fontId="0" fillId="7" borderId="14" xfId="0" applyNumberFormat="1" applyFill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67" fontId="0" fillId="0" borderId="1" xfId="0" applyNumberFormat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7" xfId="0" applyFill="1" applyBorder="1" applyAlignment="1"/>
    <xf numFmtId="0" fontId="0" fillId="8" borderId="19" xfId="0" applyFill="1" applyBorder="1" applyAlignment="1"/>
    <xf numFmtId="0" fontId="0" fillId="8" borderId="0" xfId="0" applyFill="1" applyBorder="1" applyAlignment="1">
      <alignment horizontal="center"/>
    </xf>
    <xf numFmtId="0" fontId="0" fillId="8" borderId="21" xfId="0" applyFill="1" applyBorder="1" applyAlignment="1">
      <alignment horizontal="left"/>
    </xf>
    <xf numFmtId="0" fontId="0" fillId="8" borderId="20" xfId="0" applyFill="1" applyBorder="1" applyAlignment="1">
      <alignment horizontal="right"/>
    </xf>
    <xf numFmtId="0" fontId="0" fillId="6" borderId="14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0" borderId="14" xfId="0" applyBorder="1" applyAlignment="1"/>
    <xf numFmtId="0" fontId="0" fillId="0" borderId="14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18" xfId="0" applyBorder="1"/>
    <xf numFmtId="0" fontId="0" fillId="0" borderId="19" xfId="0" applyBorder="1"/>
    <xf numFmtId="167" fontId="0" fillId="0" borderId="14" xfId="0" applyNumberFormat="1" applyBorder="1" applyAlignment="1">
      <alignment horizontal="center"/>
    </xf>
    <xf numFmtId="168" fontId="0" fillId="7" borderId="3" xfId="0" applyNumberFormat="1" applyFill="1" applyBorder="1" applyAlignment="1">
      <alignment horizontal="left"/>
    </xf>
    <xf numFmtId="168" fontId="0" fillId="7" borderId="5" xfId="0" applyNumberFormat="1" applyFill="1" applyBorder="1" applyAlignment="1">
      <alignment horizontal="left"/>
    </xf>
    <xf numFmtId="168" fontId="0" fillId="7" borderId="4" xfId="0" applyNumberFormat="1" applyFill="1" applyBorder="1" applyAlignment="1">
      <alignment horizontal="left"/>
    </xf>
    <xf numFmtId="168" fontId="0" fillId="7" borderId="5" xfId="0" applyNumberFormat="1" applyFill="1" applyBorder="1" applyAlignment="1">
      <alignment horizontal="center"/>
    </xf>
    <xf numFmtId="168" fontId="0" fillId="7" borderId="4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238125</xdr:colOff>
      <xdr:row>12</xdr:row>
      <xdr:rowOff>38101</xdr:rowOff>
    </xdr:from>
    <xdr:to>
      <xdr:col>12</xdr:col>
      <xdr:colOff>400050</xdr:colOff>
      <xdr:row>13</xdr:row>
      <xdr:rowOff>47625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7B3C42F0-C55A-49D6-99F4-387D30D9D32F}"/>
            </a:ext>
          </a:extLst>
        </xdr:cNvPr>
        <xdr:cNvSpPr txBox="1">
          <a:spLocks noChangeArrowheads="1"/>
        </xdr:cNvSpPr>
      </xdr:nvSpPr>
      <xdr:spPr bwMode="auto">
        <a:xfrm>
          <a:off x="8753475" y="2390776"/>
          <a:ext cx="885825" cy="20002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 P_one_tail*2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171451</xdr:rowOff>
    </xdr:from>
    <xdr:to>
      <xdr:col>5</xdr:col>
      <xdr:colOff>428625</xdr:colOff>
      <xdr:row>10</xdr:row>
      <xdr:rowOff>89665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6ECA85-A69F-453B-A09E-C9F17C8E3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" y="171451"/>
          <a:ext cx="2838450" cy="1899414"/>
        </a:xfrm>
        <a:prstGeom prst="rect">
          <a:avLst/>
        </a:prstGeom>
      </xdr:spPr>
    </xdr:pic>
    <xdr:clientData/>
  </xdr:twoCellAnchor>
  <xdr:twoCellAnchor editAs="oneCell">
    <xdr:from>
      <xdr:col>11</xdr:col>
      <xdr:colOff>561975</xdr:colOff>
      <xdr:row>2</xdr:row>
      <xdr:rowOff>180975</xdr:rowOff>
    </xdr:from>
    <xdr:to>
      <xdr:col>14</xdr:col>
      <xdr:colOff>114300</xdr:colOff>
      <xdr:row>5</xdr:row>
      <xdr:rowOff>139827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90BA48-86C0-4CDD-98EE-F791346E5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67650" y="609600"/>
          <a:ext cx="1381125" cy="530352"/>
        </a:xfrm>
        <a:prstGeom prst="rect">
          <a:avLst/>
        </a:prstGeom>
      </xdr:spPr>
    </xdr:pic>
    <xdr:clientData/>
  </xdr:twoCellAnchor>
  <xdr:twoCellAnchor>
    <xdr:from>
      <xdr:col>8</xdr:col>
      <xdr:colOff>533400</xdr:colOff>
      <xdr:row>9</xdr:row>
      <xdr:rowOff>0</xdr:rowOff>
    </xdr:from>
    <xdr:to>
      <xdr:col>10</xdr:col>
      <xdr:colOff>333375</xdr:colOff>
      <xdr:row>10</xdr:row>
      <xdr:rowOff>0</xdr:rowOff>
    </xdr:to>
    <xdr:sp macro="" textlink="">
      <xdr:nvSpPr>
        <xdr:cNvPr id="5121" name="Text Box 1">
          <a:extLst>
            <a:ext uri="{FF2B5EF4-FFF2-40B4-BE49-F238E27FC236}">
              <a16:creationId xmlns:a16="http://schemas.microsoft.com/office/drawing/2014/main" id="{332020CF-A1B4-43A7-897B-7926CE33C445}"/>
            </a:ext>
          </a:extLst>
        </xdr:cNvPr>
        <xdr:cNvSpPr txBox="1">
          <a:spLocks noChangeArrowheads="1"/>
        </xdr:cNvSpPr>
      </xdr:nvSpPr>
      <xdr:spPr bwMode="auto">
        <a:xfrm>
          <a:off x="5981700" y="1771650"/>
          <a:ext cx="120015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=NORM.S.INV(0.975)</a:t>
          </a:r>
        </a:p>
      </xdr:txBody>
    </xdr:sp>
    <xdr:clientData/>
  </xdr:twoCellAnchor>
  <xdr:twoCellAnchor>
    <xdr:from>
      <xdr:col>12</xdr:col>
      <xdr:colOff>66674</xdr:colOff>
      <xdr:row>5</xdr:row>
      <xdr:rowOff>180975</xdr:rowOff>
    </xdr:from>
    <xdr:to>
      <xdr:col>15</xdr:col>
      <xdr:colOff>457199</xdr:colOff>
      <xdr:row>6</xdr:row>
      <xdr:rowOff>171450</xdr:rowOff>
    </xdr:to>
    <xdr:sp macro="" textlink="">
      <xdr:nvSpPr>
        <xdr:cNvPr id="5122" name="Text Box 2">
          <a:extLst>
            <a:ext uri="{FF2B5EF4-FFF2-40B4-BE49-F238E27FC236}">
              <a16:creationId xmlns:a16="http://schemas.microsoft.com/office/drawing/2014/main" id="{85DD5806-EC03-4E1B-AC0B-9A2358CFEBEA}"/>
            </a:ext>
          </a:extLst>
        </xdr:cNvPr>
        <xdr:cNvSpPr txBox="1">
          <a:spLocks noChangeArrowheads="1"/>
        </xdr:cNvSpPr>
      </xdr:nvSpPr>
      <xdr:spPr bwMode="auto">
        <a:xfrm>
          <a:off x="7981949" y="1190625"/>
          <a:ext cx="221932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 0.25 - 1.96 * SQRT(0.25 * 0.75 / 100)</a:t>
          </a:r>
        </a:p>
      </xdr:txBody>
    </xdr:sp>
    <xdr:clientData/>
  </xdr:twoCellAnchor>
  <xdr:twoCellAnchor>
    <xdr:from>
      <xdr:col>12</xdr:col>
      <xdr:colOff>57149</xdr:colOff>
      <xdr:row>7</xdr:row>
      <xdr:rowOff>19050</xdr:rowOff>
    </xdr:from>
    <xdr:to>
      <xdr:col>15</xdr:col>
      <xdr:colOff>466724</xdr:colOff>
      <xdr:row>8</xdr:row>
      <xdr:rowOff>28575</xdr:rowOff>
    </xdr:to>
    <xdr:sp macro="" textlink="">
      <xdr:nvSpPr>
        <xdr:cNvPr id="5123" name="Text Box 3">
          <a:extLst>
            <a:ext uri="{FF2B5EF4-FFF2-40B4-BE49-F238E27FC236}">
              <a16:creationId xmlns:a16="http://schemas.microsoft.com/office/drawing/2014/main" id="{DB180838-63C1-4EB7-862F-27F6344815F7}"/>
            </a:ext>
          </a:extLst>
        </xdr:cNvPr>
        <xdr:cNvSpPr txBox="1">
          <a:spLocks noChangeArrowheads="1"/>
        </xdr:cNvSpPr>
      </xdr:nvSpPr>
      <xdr:spPr bwMode="auto">
        <a:xfrm>
          <a:off x="7972424" y="1409700"/>
          <a:ext cx="2238375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 0.25 + 1.96 * SQRT(0.25 * 0.75 / 100)</a:t>
          </a:r>
        </a:p>
      </xdr:txBody>
    </xdr:sp>
    <xdr:clientData/>
  </xdr:twoCellAnchor>
  <xdr:twoCellAnchor editAs="oneCell">
    <xdr:from>
      <xdr:col>11</xdr:col>
      <xdr:colOff>400050</xdr:colOff>
      <xdr:row>11</xdr:row>
      <xdr:rowOff>28575</xdr:rowOff>
    </xdr:from>
    <xdr:to>
      <xdr:col>14</xdr:col>
      <xdr:colOff>238125</xdr:colOff>
      <xdr:row>14</xdr:row>
      <xdr:rowOff>150977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D2495DD-0845-409A-B320-6221A67DC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05725" y="2171700"/>
          <a:ext cx="1666875" cy="693902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</xdr:colOff>
      <xdr:row>11</xdr:row>
      <xdr:rowOff>47625</xdr:rowOff>
    </xdr:from>
    <xdr:to>
      <xdr:col>6</xdr:col>
      <xdr:colOff>573234</xdr:colOff>
      <xdr:row>19</xdr:row>
      <xdr:rowOff>47625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C85B95C-92A0-4382-B168-AA2940168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9550" y="2190750"/>
          <a:ext cx="4021284" cy="1543050"/>
        </a:xfrm>
        <a:prstGeom prst="rect">
          <a:avLst/>
        </a:prstGeom>
      </xdr:spPr>
    </xdr:pic>
    <xdr:clientData/>
  </xdr:twoCellAnchor>
  <xdr:twoCellAnchor>
    <xdr:from>
      <xdr:col>8</xdr:col>
      <xdr:colOff>552450</xdr:colOff>
      <xdr:row>12</xdr:row>
      <xdr:rowOff>0</xdr:rowOff>
    </xdr:from>
    <xdr:to>
      <xdr:col>10</xdr:col>
      <xdr:colOff>400050</xdr:colOff>
      <xdr:row>12</xdr:row>
      <xdr:rowOff>180975</xdr:rowOff>
    </xdr:to>
    <xdr:sp macro="" textlink="">
      <xdr:nvSpPr>
        <xdr:cNvPr id="10" name="Text Box 1">
          <a:extLst>
            <a:ext uri="{FF2B5EF4-FFF2-40B4-BE49-F238E27FC236}">
              <a16:creationId xmlns:a16="http://schemas.microsoft.com/office/drawing/2014/main" id="{04D728AB-830E-4001-8A68-DC4634005826}"/>
            </a:ext>
          </a:extLst>
        </xdr:cNvPr>
        <xdr:cNvSpPr txBox="1">
          <a:spLocks noChangeArrowheads="1"/>
        </xdr:cNvSpPr>
      </xdr:nvSpPr>
      <xdr:spPr bwMode="auto">
        <a:xfrm>
          <a:off x="6000750" y="2343150"/>
          <a:ext cx="12477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=NORM.S.INV(0.975)</a:t>
          </a:r>
        </a:p>
      </xdr:txBody>
    </xdr:sp>
    <xdr:clientData/>
  </xdr:twoCellAnchor>
  <xdr:twoCellAnchor>
    <xdr:from>
      <xdr:col>12</xdr:col>
      <xdr:colOff>66674</xdr:colOff>
      <xdr:row>14</xdr:row>
      <xdr:rowOff>180975</xdr:rowOff>
    </xdr:from>
    <xdr:to>
      <xdr:col>15</xdr:col>
      <xdr:colOff>114299</xdr:colOff>
      <xdr:row>16</xdr:row>
      <xdr:rowOff>0</xdr:rowOff>
    </xdr:to>
    <xdr:sp macro="" textlink="">
      <xdr:nvSpPr>
        <xdr:cNvPr id="5124" name="Text Box 4">
          <a:extLst>
            <a:ext uri="{FF2B5EF4-FFF2-40B4-BE49-F238E27FC236}">
              <a16:creationId xmlns:a16="http://schemas.microsoft.com/office/drawing/2014/main" id="{C0C42268-F452-4888-B54A-61C5404000A1}"/>
            </a:ext>
          </a:extLst>
        </xdr:cNvPr>
        <xdr:cNvSpPr txBox="1">
          <a:spLocks noChangeArrowheads="1"/>
        </xdr:cNvSpPr>
      </xdr:nvSpPr>
      <xdr:spPr bwMode="auto">
        <a:xfrm>
          <a:off x="7981949" y="2895600"/>
          <a:ext cx="1876425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 (1.96^2 * 0.25 * 0.75) / 0.03^2</a:t>
          </a:r>
        </a:p>
      </xdr:txBody>
    </xdr:sp>
    <xdr:clientData/>
  </xdr:twoCellAnchor>
  <xdr:twoCellAnchor>
    <xdr:from>
      <xdr:col>8</xdr:col>
      <xdr:colOff>504825</xdr:colOff>
      <xdr:row>4</xdr:row>
      <xdr:rowOff>171450</xdr:rowOff>
    </xdr:from>
    <xdr:to>
      <xdr:col>9</xdr:col>
      <xdr:colOff>381000</xdr:colOff>
      <xdr:row>5</xdr:row>
      <xdr:rowOff>180975</xdr:rowOff>
    </xdr:to>
    <xdr:sp macro="" textlink="">
      <xdr:nvSpPr>
        <xdr:cNvPr id="5125" name="Text Box 5">
          <a:extLst>
            <a:ext uri="{FF2B5EF4-FFF2-40B4-BE49-F238E27FC236}">
              <a16:creationId xmlns:a16="http://schemas.microsoft.com/office/drawing/2014/main" id="{96D047EF-32C4-4963-8FE6-079ADF53A4F3}"/>
            </a:ext>
          </a:extLst>
        </xdr:cNvPr>
        <xdr:cNvSpPr txBox="1">
          <a:spLocks noChangeArrowheads="1"/>
        </xdr:cNvSpPr>
      </xdr:nvSpPr>
      <xdr:spPr bwMode="auto">
        <a:xfrm>
          <a:off x="5953125" y="990600"/>
          <a:ext cx="51435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=25/100</a:t>
          </a:r>
        </a:p>
      </xdr:txBody>
    </xdr:sp>
    <xdr:clientData/>
  </xdr:twoCellAnchor>
  <xdr:twoCellAnchor>
    <xdr:from>
      <xdr:col>0</xdr:col>
      <xdr:colOff>0</xdr:colOff>
      <xdr:row>10</xdr:row>
      <xdr:rowOff>142875</xdr:rowOff>
    </xdr:from>
    <xdr:to>
      <xdr:col>30</xdr:col>
      <xdr:colOff>371475</xdr:colOff>
      <xdr:row>10</xdr:row>
      <xdr:rowOff>152400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2032E4AA-84F9-4EE8-A753-18344B863C4A}"/>
            </a:ext>
          </a:extLst>
        </xdr:cNvPr>
        <xdr:cNvCxnSpPr/>
      </xdr:nvCxnSpPr>
      <xdr:spPr>
        <a:xfrm flipV="1">
          <a:off x="0" y="2105025"/>
          <a:ext cx="19411950" cy="952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57151</xdr:colOff>
      <xdr:row>2</xdr:row>
      <xdr:rowOff>57150</xdr:rowOff>
    </xdr:from>
    <xdr:to>
      <xdr:col>6</xdr:col>
      <xdr:colOff>571501</xdr:colOff>
      <xdr:row>12</xdr:row>
      <xdr:rowOff>29196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492248-9CC8-4E07-AE83-5B2F8EFD2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1" y="304800"/>
          <a:ext cx="4171950" cy="1877046"/>
        </a:xfrm>
        <a:prstGeom prst="rect">
          <a:avLst/>
        </a:prstGeom>
      </xdr:spPr>
    </xdr:pic>
    <xdr:clientData/>
  </xdr:twoCellAnchor>
  <xdr:twoCellAnchor>
    <xdr:from>
      <xdr:col>9</xdr:col>
      <xdr:colOff>457200</xdr:colOff>
      <xdr:row>5</xdr:row>
      <xdr:rowOff>180976</xdr:rowOff>
    </xdr:from>
    <xdr:to>
      <xdr:col>10</xdr:col>
      <xdr:colOff>371475</xdr:colOff>
      <xdr:row>6</xdr:row>
      <xdr:rowOff>180976</xdr:rowOff>
    </xdr:to>
    <xdr:sp macro="" textlink="">
      <xdr:nvSpPr>
        <xdr:cNvPr id="6145" name="Text Box 1">
          <a:extLst>
            <a:ext uri="{FF2B5EF4-FFF2-40B4-BE49-F238E27FC236}">
              <a16:creationId xmlns:a16="http://schemas.microsoft.com/office/drawing/2014/main" id="{CC1C395B-1CCE-471F-8E51-1A0FEF25E2BB}"/>
            </a:ext>
          </a:extLst>
        </xdr:cNvPr>
        <xdr:cNvSpPr txBox="1">
          <a:spLocks noChangeArrowheads="1"/>
        </xdr:cNvSpPr>
      </xdr:nvSpPr>
      <xdr:spPr bwMode="auto">
        <a:xfrm>
          <a:off x="7067550" y="1000126"/>
          <a:ext cx="523875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=25/500</a:t>
          </a:r>
        </a:p>
      </xdr:txBody>
    </xdr:sp>
    <xdr:clientData/>
  </xdr:twoCellAnchor>
  <xdr:twoCellAnchor>
    <xdr:from>
      <xdr:col>9</xdr:col>
      <xdr:colOff>514350</xdr:colOff>
      <xdr:row>9</xdr:row>
      <xdr:rowOff>0</xdr:rowOff>
    </xdr:from>
    <xdr:to>
      <xdr:col>11</xdr:col>
      <xdr:colOff>552450</xdr:colOff>
      <xdr:row>10</xdr:row>
      <xdr:rowOff>0</xdr:rowOff>
    </xdr:to>
    <xdr:sp macro="" textlink="">
      <xdr:nvSpPr>
        <xdr:cNvPr id="6146" name="Text Box 2">
          <a:extLst>
            <a:ext uri="{FF2B5EF4-FFF2-40B4-BE49-F238E27FC236}">
              <a16:creationId xmlns:a16="http://schemas.microsoft.com/office/drawing/2014/main" id="{137A7BED-5E3D-4B4A-BF84-4F6C95E0C17F}"/>
            </a:ext>
          </a:extLst>
        </xdr:cNvPr>
        <xdr:cNvSpPr txBox="1">
          <a:spLocks noChangeArrowheads="1"/>
        </xdr:cNvSpPr>
      </xdr:nvSpPr>
      <xdr:spPr bwMode="auto">
        <a:xfrm>
          <a:off x="7124700" y="1581150"/>
          <a:ext cx="125730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=NORM.S.INV(0.975)</a:t>
          </a:r>
        </a:p>
      </xdr:txBody>
    </xdr:sp>
    <xdr:clientData/>
  </xdr:twoCellAnchor>
  <xdr:twoCellAnchor editAs="oneCell">
    <xdr:from>
      <xdr:col>13</xdr:col>
      <xdr:colOff>276226</xdr:colOff>
      <xdr:row>0</xdr:row>
      <xdr:rowOff>180975</xdr:rowOff>
    </xdr:from>
    <xdr:to>
      <xdr:col>15</xdr:col>
      <xdr:colOff>514351</xdr:colOff>
      <xdr:row>5</xdr:row>
      <xdr:rowOff>161747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0278BE9-90CB-48EF-BEA2-17146EEB4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24976" y="180975"/>
          <a:ext cx="1695450" cy="942797"/>
        </a:xfrm>
        <a:prstGeom prst="rect">
          <a:avLst/>
        </a:prstGeom>
      </xdr:spPr>
    </xdr:pic>
    <xdr:clientData/>
  </xdr:twoCellAnchor>
  <xdr:twoCellAnchor>
    <xdr:from>
      <xdr:col>14</xdr:col>
      <xdr:colOff>9524</xdr:colOff>
      <xdr:row>6</xdr:row>
      <xdr:rowOff>171450</xdr:rowOff>
    </xdr:from>
    <xdr:to>
      <xdr:col>17</xdr:col>
      <xdr:colOff>533399</xdr:colOff>
      <xdr:row>8</xdr:row>
      <xdr:rowOff>0</xdr:rowOff>
    </xdr:to>
    <xdr:sp macro="" textlink="">
      <xdr:nvSpPr>
        <xdr:cNvPr id="6147" name="Text Box 3">
          <a:extLst>
            <a:ext uri="{FF2B5EF4-FFF2-40B4-BE49-F238E27FC236}">
              <a16:creationId xmlns:a16="http://schemas.microsoft.com/office/drawing/2014/main" id="{A9DFAB09-F2A0-4368-9058-048B0C39E5DF}"/>
            </a:ext>
          </a:extLst>
        </xdr:cNvPr>
        <xdr:cNvSpPr txBox="1">
          <a:spLocks noChangeArrowheads="1"/>
        </xdr:cNvSpPr>
      </xdr:nvSpPr>
      <xdr:spPr bwMode="auto">
        <a:xfrm>
          <a:off x="9667874" y="1181100"/>
          <a:ext cx="2352675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=(0.05 - 0.08) / (SQRT(0.08 * 0.92 / 500))</a:t>
          </a:r>
        </a:p>
      </xdr:txBody>
    </xdr:sp>
    <xdr:clientData/>
  </xdr:twoCellAnchor>
  <xdr:twoCellAnchor>
    <xdr:from>
      <xdr:col>11</xdr:col>
      <xdr:colOff>542925</xdr:colOff>
      <xdr:row>18</xdr:row>
      <xdr:rowOff>9526</xdr:rowOff>
    </xdr:from>
    <xdr:to>
      <xdr:col>14</xdr:col>
      <xdr:colOff>95250</xdr:colOff>
      <xdr:row>19</xdr:row>
      <xdr:rowOff>19050</xdr:rowOff>
    </xdr:to>
    <xdr:sp macro="" textlink="">
      <xdr:nvSpPr>
        <xdr:cNvPr id="6148" name="Text Box 4">
          <a:extLst>
            <a:ext uri="{FF2B5EF4-FFF2-40B4-BE49-F238E27FC236}">
              <a16:creationId xmlns:a16="http://schemas.microsoft.com/office/drawing/2014/main" id="{2A87CE40-8249-48AE-88A0-9A037454E7AC}"/>
            </a:ext>
          </a:extLst>
        </xdr:cNvPr>
        <xdr:cNvSpPr txBox="1">
          <a:spLocks noChangeArrowheads="1"/>
        </xdr:cNvSpPr>
      </xdr:nvSpPr>
      <xdr:spPr bwMode="auto">
        <a:xfrm>
          <a:off x="7896225" y="3324226"/>
          <a:ext cx="1733550" cy="20954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=2*NORM.S.DIST(-2.47,TRUE)</a:t>
          </a:r>
        </a:p>
      </xdr:txBody>
    </xdr:sp>
    <xdr:clientData/>
  </xdr:twoCellAnchor>
  <xdr:twoCellAnchor editAs="oneCell">
    <xdr:from>
      <xdr:col>16</xdr:col>
      <xdr:colOff>76201</xdr:colOff>
      <xdr:row>19</xdr:row>
      <xdr:rowOff>171451</xdr:rowOff>
    </xdr:from>
    <xdr:to>
      <xdr:col>17</xdr:col>
      <xdr:colOff>438150</xdr:colOff>
      <xdr:row>21</xdr:row>
      <xdr:rowOff>180663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DBB986B-FAEC-466C-BD20-88114DEAA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29926" y="3829051"/>
          <a:ext cx="971549" cy="390212"/>
        </a:xfrm>
        <a:prstGeom prst="rect">
          <a:avLst/>
        </a:prstGeom>
      </xdr:spPr>
    </xdr:pic>
    <xdr:clientData/>
  </xdr:twoCellAnchor>
  <xdr:twoCellAnchor>
    <xdr:from>
      <xdr:col>9</xdr:col>
      <xdr:colOff>152399</xdr:colOff>
      <xdr:row>20</xdr:row>
      <xdr:rowOff>19050</xdr:rowOff>
    </xdr:from>
    <xdr:to>
      <xdr:col>12</xdr:col>
      <xdr:colOff>533400</xdr:colOff>
      <xdr:row>21</xdr:row>
      <xdr:rowOff>28575</xdr:rowOff>
    </xdr:to>
    <xdr:sp macro="" textlink="">
      <xdr:nvSpPr>
        <xdr:cNvPr id="6149" name="Text Box 5">
          <a:extLst>
            <a:ext uri="{FF2B5EF4-FFF2-40B4-BE49-F238E27FC236}">
              <a16:creationId xmlns:a16="http://schemas.microsoft.com/office/drawing/2014/main" id="{6C38FB24-BB3D-4C0A-983F-2BC01952035C}"/>
            </a:ext>
          </a:extLst>
        </xdr:cNvPr>
        <xdr:cNvSpPr txBox="1">
          <a:spLocks noChangeArrowheads="1"/>
        </xdr:cNvSpPr>
      </xdr:nvSpPr>
      <xdr:spPr bwMode="auto">
        <a:xfrm>
          <a:off x="6286499" y="3867150"/>
          <a:ext cx="2209801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=0.05 - 1.96 * SQRT(0.08 * 0.92 / 500)</a:t>
          </a:r>
        </a:p>
      </xdr:txBody>
    </xdr:sp>
    <xdr:clientData/>
  </xdr:twoCellAnchor>
  <xdr:twoCellAnchor>
    <xdr:from>
      <xdr:col>12</xdr:col>
      <xdr:colOff>619125</xdr:colOff>
      <xdr:row>20</xdr:row>
      <xdr:rowOff>19050</xdr:rowOff>
    </xdr:from>
    <xdr:to>
      <xdr:col>16</xdr:col>
      <xdr:colOff>47626</xdr:colOff>
      <xdr:row>21</xdr:row>
      <xdr:rowOff>38100</xdr:rowOff>
    </xdr:to>
    <xdr:sp macro="" textlink="">
      <xdr:nvSpPr>
        <xdr:cNvPr id="6150" name="Text Box 6">
          <a:extLst>
            <a:ext uri="{FF2B5EF4-FFF2-40B4-BE49-F238E27FC236}">
              <a16:creationId xmlns:a16="http://schemas.microsoft.com/office/drawing/2014/main" id="{3DB48EC1-032B-4FEB-BC12-FEA7946168AE}"/>
            </a:ext>
          </a:extLst>
        </xdr:cNvPr>
        <xdr:cNvSpPr txBox="1">
          <a:spLocks noChangeArrowheads="1"/>
        </xdr:cNvSpPr>
      </xdr:nvSpPr>
      <xdr:spPr bwMode="auto">
        <a:xfrm>
          <a:off x="8582025" y="3867150"/>
          <a:ext cx="2219326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=0.05 + 1.96 * SQRT(0.08 * 0.92 / 500)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E58D9-78B3-4DF6-96C9-6EDAFC93C8FD}">
  <dimension ref="E1:K91"/>
  <sheetViews>
    <sheetView workbookViewId="0">
      <selection activeCell="E3" sqref="E3:F91"/>
    </sheetView>
  </sheetViews>
  <sheetFormatPr defaultRowHeight="15" x14ac:dyDescent="0.25"/>
  <cols>
    <col min="9" max="9" width="42.5703125" bestFit="1" customWidth="1"/>
    <col min="10" max="11" width="12" bestFit="1" customWidth="1"/>
  </cols>
  <sheetData>
    <row r="1" spans="5:11" ht="19.5" thickBot="1" x14ac:dyDescent="0.35">
      <c r="I1" s="12" t="s">
        <v>0</v>
      </c>
      <c r="J1" s="13"/>
    </row>
    <row r="3" spans="5:11" x14ac:dyDescent="0.25">
      <c r="E3">
        <v>93</v>
      </c>
      <c r="F3">
        <v>88</v>
      </c>
      <c r="I3" s="3" t="s">
        <v>0</v>
      </c>
    </row>
    <row r="4" spans="5:11" ht="15.75" thickBot="1" x14ac:dyDescent="0.3">
      <c r="E4">
        <v>12</v>
      </c>
      <c r="F4">
        <v>74</v>
      </c>
    </row>
    <row r="5" spans="5:11" x14ac:dyDescent="0.25">
      <c r="E5">
        <v>37</v>
      </c>
      <c r="F5">
        <v>4</v>
      </c>
      <c r="I5" s="2"/>
      <c r="J5" s="2" t="s">
        <v>1</v>
      </c>
      <c r="K5" s="2" t="s">
        <v>2</v>
      </c>
    </row>
    <row r="6" spans="5:11" x14ac:dyDescent="0.25">
      <c r="E6">
        <v>46</v>
      </c>
      <c r="F6">
        <v>38</v>
      </c>
      <c r="I6" s="1" t="s">
        <v>3</v>
      </c>
      <c r="J6" s="1">
        <v>52.101123595505619</v>
      </c>
      <c r="K6" s="1">
        <v>47.123595505617978</v>
      </c>
    </row>
    <row r="7" spans="5:11" x14ac:dyDescent="0.25">
      <c r="E7">
        <v>54</v>
      </c>
      <c r="F7">
        <v>45</v>
      </c>
      <c r="I7" s="1" t="s">
        <v>4</v>
      </c>
      <c r="J7" s="1">
        <v>726.95556690500496</v>
      </c>
      <c r="K7" s="1">
        <v>816.56409601634334</v>
      </c>
    </row>
    <row r="8" spans="5:11" x14ac:dyDescent="0.25">
      <c r="E8">
        <v>35</v>
      </c>
      <c r="F8">
        <v>79</v>
      </c>
      <c r="I8" s="1" t="s">
        <v>5</v>
      </c>
      <c r="J8" s="1">
        <v>89</v>
      </c>
      <c r="K8" s="1">
        <v>89</v>
      </c>
    </row>
    <row r="9" spans="5:11" x14ac:dyDescent="0.25">
      <c r="E9">
        <v>32</v>
      </c>
      <c r="F9">
        <v>52</v>
      </c>
      <c r="I9" s="1" t="s">
        <v>6</v>
      </c>
      <c r="J9" s="1">
        <v>771.75983146067415</v>
      </c>
      <c r="K9" s="1"/>
    </row>
    <row r="10" spans="5:11" x14ac:dyDescent="0.25">
      <c r="E10">
        <v>79</v>
      </c>
      <c r="F10">
        <v>7</v>
      </c>
      <c r="I10" s="1" t="s">
        <v>7</v>
      </c>
      <c r="J10" s="1">
        <v>0</v>
      </c>
      <c r="K10" s="1"/>
    </row>
    <row r="11" spans="5:11" x14ac:dyDescent="0.25">
      <c r="E11">
        <v>98</v>
      </c>
      <c r="F11">
        <v>77</v>
      </c>
      <c r="I11" s="1" t="s">
        <v>8</v>
      </c>
      <c r="J11" s="1">
        <v>176</v>
      </c>
      <c r="K11" s="1"/>
    </row>
    <row r="12" spans="5:11" x14ac:dyDescent="0.25">
      <c r="E12">
        <v>73</v>
      </c>
      <c r="F12">
        <v>26</v>
      </c>
      <c r="I12" s="4" t="s">
        <v>9</v>
      </c>
      <c r="J12" s="4">
        <v>1.1952331771365015</v>
      </c>
      <c r="K12" s="4"/>
    </row>
    <row r="13" spans="5:11" x14ac:dyDescent="0.25">
      <c r="E13">
        <v>86</v>
      </c>
      <c r="F13">
        <v>34</v>
      </c>
      <c r="I13" s="7" t="s">
        <v>10</v>
      </c>
      <c r="J13" s="7">
        <v>0.11680198698503552</v>
      </c>
      <c r="K13" s="7"/>
    </row>
    <row r="14" spans="5:11" x14ac:dyDescent="0.25">
      <c r="E14">
        <v>72</v>
      </c>
      <c r="F14">
        <v>19</v>
      </c>
      <c r="I14" s="5" t="s">
        <v>11</v>
      </c>
      <c r="J14" s="5">
        <v>1.6535574354559317</v>
      </c>
      <c r="K14" s="5"/>
    </row>
    <row r="15" spans="5:11" x14ac:dyDescent="0.25">
      <c r="E15">
        <v>53</v>
      </c>
      <c r="F15">
        <v>92</v>
      </c>
      <c r="I15" s="7" t="s">
        <v>12</v>
      </c>
      <c r="J15" s="7">
        <v>0.23360397397007104</v>
      </c>
      <c r="K15" s="7"/>
    </row>
    <row r="16" spans="5:11" ht="15.75" thickBot="1" x14ac:dyDescent="0.3">
      <c r="E16">
        <v>28</v>
      </c>
      <c r="F16">
        <v>26</v>
      </c>
      <c r="I16" s="6" t="s">
        <v>13</v>
      </c>
      <c r="J16" s="6">
        <v>1.9735343877061042</v>
      </c>
      <c r="K16" s="6"/>
    </row>
    <row r="17" spans="5:6" x14ac:dyDescent="0.25">
      <c r="E17">
        <v>39</v>
      </c>
      <c r="F17">
        <v>33</v>
      </c>
    </row>
    <row r="18" spans="5:6" x14ac:dyDescent="0.25">
      <c r="E18">
        <v>45</v>
      </c>
      <c r="F18">
        <v>23</v>
      </c>
    </row>
    <row r="19" spans="5:6" x14ac:dyDescent="0.25">
      <c r="E19">
        <v>57</v>
      </c>
      <c r="F19">
        <v>2</v>
      </c>
    </row>
    <row r="20" spans="5:6" x14ac:dyDescent="0.25">
      <c r="E20">
        <v>25</v>
      </c>
      <c r="F20">
        <v>53</v>
      </c>
    </row>
    <row r="21" spans="5:6" x14ac:dyDescent="0.25">
      <c r="E21">
        <v>77</v>
      </c>
      <c r="F21">
        <v>74</v>
      </c>
    </row>
    <row r="22" spans="5:6" x14ac:dyDescent="0.25">
      <c r="E22">
        <v>23</v>
      </c>
      <c r="F22">
        <v>69</v>
      </c>
    </row>
    <row r="23" spans="5:6" x14ac:dyDescent="0.25">
      <c r="E23">
        <v>52</v>
      </c>
      <c r="F23">
        <v>12</v>
      </c>
    </row>
    <row r="24" spans="5:6" x14ac:dyDescent="0.25">
      <c r="E24">
        <v>43</v>
      </c>
      <c r="F24">
        <v>74</v>
      </c>
    </row>
    <row r="25" spans="5:6" x14ac:dyDescent="0.25">
      <c r="E25">
        <v>1</v>
      </c>
      <c r="F25">
        <v>37</v>
      </c>
    </row>
    <row r="26" spans="5:6" x14ac:dyDescent="0.25">
      <c r="E26">
        <v>72</v>
      </c>
      <c r="F26">
        <v>99</v>
      </c>
    </row>
    <row r="27" spans="5:6" x14ac:dyDescent="0.25">
      <c r="E27">
        <v>88</v>
      </c>
      <c r="F27">
        <v>99</v>
      </c>
    </row>
    <row r="28" spans="5:6" x14ac:dyDescent="0.25">
      <c r="E28">
        <v>14</v>
      </c>
      <c r="F28">
        <v>98</v>
      </c>
    </row>
    <row r="29" spans="5:6" x14ac:dyDescent="0.25">
      <c r="E29">
        <v>43</v>
      </c>
      <c r="F29">
        <v>57</v>
      </c>
    </row>
    <row r="30" spans="5:6" x14ac:dyDescent="0.25">
      <c r="E30">
        <v>18</v>
      </c>
      <c r="F30">
        <v>55</v>
      </c>
    </row>
    <row r="31" spans="5:6" x14ac:dyDescent="0.25">
      <c r="E31">
        <v>97</v>
      </c>
      <c r="F31">
        <v>45</v>
      </c>
    </row>
    <row r="32" spans="5:6" x14ac:dyDescent="0.25">
      <c r="E32">
        <v>11</v>
      </c>
      <c r="F32">
        <v>85</v>
      </c>
    </row>
    <row r="33" spans="5:6" x14ac:dyDescent="0.25">
      <c r="E33">
        <v>78</v>
      </c>
      <c r="F33">
        <v>14</v>
      </c>
    </row>
    <row r="34" spans="5:6" x14ac:dyDescent="0.25">
      <c r="E34">
        <v>60</v>
      </c>
      <c r="F34">
        <v>18</v>
      </c>
    </row>
    <row r="35" spans="5:6" x14ac:dyDescent="0.25">
      <c r="E35">
        <v>69</v>
      </c>
      <c r="F35">
        <v>78</v>
      </c>
    </row>
    <row r="36" spans="5:6" x14ac:dyDescent="0.25">
      <c r="E36">
        <v>26</v>
      </c>
      <c r="F36">
        <v>83</v>
      </c>
    </row>
    <row r="37" spans="5:6" x14ac:dyDescent="0.25">
      <c r="E37">
        <v>80</v>
      </c>
      <c r="F37">
        <v>68</v>
      </c>
    </row>
    <row r="38" spans="5:6" x14ac:dyDescent="0.25">
      <c r="E38">
        <v>48</v>
      </c>
      <c r="F38">
        <v>43</v>
      </c>
    </row>
    <row r="39" spans="5:6" x14ac:dyDescent="0.25">
      <c r="E39">
        <v>54</v>
      </c>
      <c r="F39">
        <v>48</v>
      </c>
    </row>
    <row r="40" spans="5:6" x14ac:dyDescent="0.25">
      <c r="E40">
        <v>66</v>
      </c>
      <c r="F40">
        <v>58</v>
      </c>
    </row>
    <row r="41" spans="5:6" x14ac:dyDescent="0.25">
      <c r="E41">
        <v>23</v>
      </c>
      <c r="F41">
        <v>56</v>
      </c>
    </row>
    <row r="42" spans="5:6" x14ac:dyDescent="0.25">
      <c r="E42">
        <v>17</v>
      </c>
      <c r="F42">
        <v>13</v>
      </c>
    </row>
    <row r="43" spans="5:6" x14ac:dyDescent="0.25">
      <c r="E43">
        <v>38</v>
      </c>
      <c r="F43">
        <v>10</v>
      </c>
    </row>
    <row r="44" spans="5:6" x14ac:dyDescent="0.25">
      <c r="E44">
        <v>66</v>
      </c>
      <c r="F44">
        <v>86</v>
      </c>
    </row>
    <row r="45" spans="5:6" x14ac:dyDescent="0.25">
      <c r="E45">
        <v>100</v>
      </c>
      <c r="F45">
        <v>46</v>
      </c>
    </row>
    <row r="46" spans="5:6" x14ac:dyDescent="0.25">
      <c r="E46">
        <v>28</v>
      </c>
      <c r="F46">
        <v>94</v>
      </c>
    </row>
    <row r="47" spans="5:6" x14ac:dyDescent="0.25">
      <c r="E47">
        <v>82</v>
      </c>
      <c r="F47">
        <v>16</v>
      </c>
    </row>
    <row r="48" spans="5:6" x14ac:dyDescent="0.25">
      <c r="E48">
        <v>71</v>
      </c>
      <c r="F48">
        <v>29</v>
      </c>
    </row>
    <row r="49" spans="5:6" x14ac:dyDescent="0.25">
      <c r="E49">
        <v>76</v>
      </c>
      <c r="F49">
        <v>51</v>
      </c>
    </row>
    <row r="50" spans="5:6" x14ac:dyDescent="0.25">
      <c r="E50">
        <v>29</v>
      </c>
      <c r="F50">
        <v>33</v>
      </c>
    </row>
    <row r="51" spans="5:6" x14ac:dyDescent="0.25">
      <c r="E51">
        <v>36</v>
      </c>
      <c r="F51">
        <v>19</v>
      </c>
    </row>
    <row r="52" spans="5:6" x14ac:dyDescent="0.25">
      <c r="E52">
        <v>9</v>
      </c>
      <c r="F52">
        <v>17</v>
      </c>
    </row>
    <row r="53" spans="5:6" x14ac:dyDescent="0.25">
      <c r="E53">
        <v>67</v>
      </c>
      <c r="F53">
        <v>61</v>
      </c>
    </row>
    <row r="54" spans="5:6" x14ac:dyDescent="0.25">
      <c r="E54">
        <v>74</v>
      </c>
      <c r="F54">
        <v>64</v>
      </c>
    </row>
    <row r="55" spans="5:6" x14ac:dyDescent="0.25">
      <c r="E55">
        <v>32</v>
      </c>
      <c r="F55">
        <v>38</v>
      </c>
    </row>
    <row r="56" spans="5:6" x14ac:dyDescent="0.25">
      <c r="E56">
        <v>58</v>
      </c>
      <c r="F56">
        <v>27</v>
      </c>
    </row>
    <row r="57" spans="5:6" x14ac:dyDescent="0.25">
      <c r="E57">
        <v>8</v>
      </c>
      <c r="F57">
        <v>13</v>
      </c>
    </row>
    <row r="58" spans="5:6" x14ac:dyDescent="0.25">
      <c r="E58">
        <v>36</v>
      </c>
      <c r="F58">
        <v>87</v>
      </c>
    </row>
    <row r="59" spans="5:6" x14ac:dyDescent="0.25">
      <c r="E59">
        <v>24</v>
      </c>
      <c r="F59">
        <v>76</v>
      </c>
    </row>
    <row r="60" spans="5:6" x14ac:dyDescent="0.25">
      <c r="E60">
        <v>11</v>
      </c>
      <c r="F60">
        <v>30</v>
      </c>
    </row>
    <row r="61" spans="5:6" x14ac:dyDescent="0.25">
      <c r="E61">
        <v>26</v>
      </c>
      <c r="F61">
        <v>10</v>
      </c>
    </row>
    <row r="62" spans="5:6" x14ac:dyDescent="0.25">
      <c r="E62">
        <v>52</v>
      </c>
      <c r="F62">
        <v>59</v>
      </c>
    </row>
    <row r="63" spans="5:6" x14ac:dyDescent="0.25">
      <c r="E63">
        <v>35</v>
      </c>
      <c r="F63">
        <v>41</v>
      </c>
    </row>
    <row r="64" spans="5:6" x14ac:dyDescent="0.25">
      <c r="E64">
        <v>95</v>
      </c>
      <c r="F64">
        <v>83</v>
      </c>
    </row>
    <row r="65" spans="5:6" x14ac:dyDescent="0.25">
      <c r="E65">
        <v>46</v>
      </c>
      <c r="F65">
        <v>37</v>
      </c>
    </row>
    <row r="66" spans="5:6" x14ac:dyDescent="0.25">
      <c r="E66">
        <v>89</v>
      </c>
      <c r="F66">
        <v>37</v>
      </c>
    </row>
    <row r="67" spans="5:6" x14ac:dyDescent="0.25">
      <c r="E67">
        <v>73</v>
      </c>
      <c r="F67">
        <v>83</v>
      </c>
    </row>
    <row r="68" spans="5:6" x14ac:dyDescent="0.25">
      <c r="E68">
        <v>2</v>
      </c>
      <c r="F68">
        <v>4</v>
      </c>
    </row>
    <row r="69" spans="5:6" x14ac:dyDescent="0.25">
      <c r="E69">
        <v>75</v>
      </c>
      <c r="F69">
        <v>58</v>
      </c>
    </row>
    <row r="70" spans="5:6" x14ac:dyDescent="0.25">
      <c r="E70">
        <v>57</v>
      </c>
      <c r="F70">
        <v>97</v>
      </c>
    </row>
    <row r="71" spans="5:6" x14ac:dyDescent="0.25">
      <c r="E71">
        <v>36</v>
      </c>
      <c r="F71">
        <v>1</v>
      </c>
    </row>
    <row r="72" spans="5:6" x14ac:dyDescent="0.25">
      <c r="E72">
        <v>63</v>
      </c>
      <c r="F72">
        <v>2</v>
      </c>
    </row>
    <row r="73" spans="5:6" x14ac:dyDescent="0.25">
      <c r="E73">
        <v>76</v>
      </c>
      <c r="F73">
        <v>41</v>
      </c>
    </row>
    <row r="74" spans="5:6" x14ac:dyDescent="0.25">
      <c r="E74">
        <v>8</v>
      </c>
      <c r="F74">
        <v>4</v>
      </c>
    </row>
    <row r="75" spans="5:6" x14ac:dyDescent="0.25">
      <c r="E75">
        <v>13</v>
      </c>
      <c r="F75">
        <v>56</v>
      </c>
    </row>
    <row r="76" spans="5:6" x14ac:dyDescent="0.25">
      <c r="E76">
        <v>34</v>
      </c>
      <c r="F76">
        <v>94</v>
      </c>
    </row>
    <row r="77" spans="5:6" x14ac:dyDescent="0.25">
      <c r="E77">
        <v>52</v>
      </c>
      <c r="F77">
        <v>84</v>
      </c>
    </row>
    <row r="78" spans="5:6" x14ac:dyDescent="0.25">
      <c r="E78">
        <v>61</v>
      </c>
      <c r="F78">
        <v>38</v>
      </c>
    </row>
    <row r="79" spans="5:6" x14ac:dyDescent="0.25">
      <c r="E79">
        <v>43</v>
      </c>
      <c r="F79">
        <v>41</v>
      </c>
    </row>
    <row r="80" spans="5:6" x14ac:dyDescent="0.25">
      <c r="E80">
        <v>100</v>
      </c>
      <c r="F80">
        <v>37</v>
      </c>
    </row>
    <row r="81" spans="5:6" x14ac:dyDescent="0.25">
      <c r="E81">
        <v>62</v>
      </c>
      <c r="F81">
        <v>44</v>
      </c>
    </row>
    <row r="82" spans="5:6" x14ac:dyDescent="0.25">
      <c r="E82">
        <v>57</v>
      </c>
      <c r="F82">
        <v>87</v>
      </c>
    </row>
    <row r="83" spans="5:6" x14ac:dyDescent="0.25">
      <c r="E83">
        <v>75</v>
      </c>
      <c r="F83">
        <v>55</v>
      </c>
    </row>
    <row r="84" spans="5:6" x14ac:dyDescent="0.25">
      <c r="E84">
        <v>66</v>
      </c>
      <c r="F84">
        <v>31</v>
      </c>
    </row>
    <row r="85" spans="5:6" x14ac:dyDescent="0.25">
      <c r="E85">
        <v>94</v>
      </c>
      <c r="F85">
        <v>51</v>
      </c>
    </row>
    <row r="86" spans="5:6" x14ac:dyDescent="0.25">
      <c r="E86">
        <v>97</v>
      </c>
      <c r="F86">
        <v>21</v>
      </c>
    </row>
    <row r="87" spans="5:6" x14ac:dyDescent="0.25">
      <c r="E87">
        <v>59</v>
      </c>
      <c r="F87">
        <v>36</v>
      </c>
    </row>
    <row r="88" spans="5:6" x14ac:dyDescent="0.25">
      <c r="E88">
        <v>7</v>
      </c>
      <c r="F88">
        <v>62</v>
      </c>
    </row>
    <row r="89" spans="5:6" x14ac:dyDescent="0.25">
      <c r="E89">
        <v>72</v>
      </c>
      <c r="F89">
        <v>2</v>
      </c>
    </row>
    <row r="90" spans="5:6" x14ac:dyDescent="0.25">
      <c r="E90">
        <v>74</v>
      </c>
      <c r="F90">
        <v>37</v>
      </c>
    </row>
    <row r="91" spans="5:6" x14ac:dyDescent="0.25">
      <c r="E91">
        <v>69</v>
      </c>
      <c r="F91">
        <v>9</v>
      </c>
    </row>
  </sheetData>
  <mergeCells count="1">
    <mergeCell ref="I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F4D9-5D31-4A01-AF84-7619F6A45899}">
  <dimension ref="E1:K91"/>
  <sheetViews>
    <sheetView workbookViewId="0">
      <selection activeCell="I11" sqref="I11:K15"/>
    </sheetView>
  </sheetViews>
  <sheetFormatPr defaultRowHeight="15" x14ac:dyDescent="0.25"/>
  <cols>
    <col min="9" max="9" width="45.140625" bestFit="1" customWidth="1"/>
    <col min="10" max="11" width="12" bestFit="1" customWidth="1"/>
  </cols>
  <sheetData>
    <row r="1" spans="5:11" ht="19.5" thickBot="1" x14ac:dyDescent="0.35">
      <c r="I1" s="12" t="s">
        <v>15</v>
      </c>
      <c r="J1" s="13"/>
    </row>
    <row r="3" spans="5:11" x14ac:dyDescent="0.25">
      <c r="E3">
        <v>93</v>
      </c>
      <c r="F3">
        <v>88</v>
      </c>
      <c r="I3" s="3" t="s">
        <v>14</v>
      </c>
    </row>
    <row r="4" spans="5:11" ht="15.75" thickBot="1" x14ac:dyDescent="0.3">
      <c r="E4">
        <v>12</v>
      </c>
      <c r="F4">
        <v>74</v>
      </c>
    </row>
    <row r="5" spans="5:11" x14ac:dyDescent="0.25">
      <c r="E5">
        <v>37</v>
      </c>
      <c r="F5">
        <v>4</v>
      </c>
      <c r="I5" s="2"/>
      <c r="J5" s="2" t="s">
        <v>1</v>
      </c>
      <c r="K5" s="2" t="s">
        <v>2</v>
      </c>
    </row>
    <row r="6" spans="5:11" x14ac:dyDescent="0.25">
      <c r="E6">
        <v>46</v>
      </c>
      <c r="F6">
        <v>38</v>
      </c>
      <c r="I6" s="1" t="s">
        <v>3</v>
      </c>
      <c r="J6" s="1">
        <v>52.101123595505619</v>
      </c>
      <c r="K6" s="1">
        <v>47.123595505617978</v>
      </c>
    </row>
    <row r="7" spans="5:11" x14ac:dyDescent="0.25">
      <c r="E7">
        <v>54</v>
      </c>
      <c r="F7">
        <v>45</v>
      </c>
      <c r="I7" s="1" t="s">
        <v>4</v>
      </c>
      <c r="J7" s="1">
        <v>726.95556690500496</v>
      </c>
      <c r="K7" s="1">
        <v>816.56409601634334</v>
      </c>
    </row>
    <row r="8" spans="5:11" x14ac:dyDescent="0.25">
      <c r="E8">
        <v>35</v>
      </c>
      <c r="F8">
        <v>79</v>
      </c>
      <c r="I8" s="1" t="s">
        <v>5</v>
      </c>
      <c r="J8" s="1">
        <v>89</v>
      </c>
      <c r="K8" s="1">
        <v>89</v>
      </c>
    </row>
    <row r="9" spans="5:11" x14ac:dyDescent="0.25">
      <c r="E9">
        <v>32</v>
      </c>
      <c r="F9">
        <v>52</v>
      </c>
      <c r="I9" s="1" t="s">
        <v>7</v>
      </c>
      <c r="J9" s="1">
        <v>0</v>
      </c>
      <c r="K9" s="1"/>
    </row>
    <row r="10" spans="5:11" x14ac:dyDescent="0.25">
      <c r="E10">
        <v>79</v>
      </c>
      <c r="F10">
        <v>7</v>
      </c>
      <c r="I10" s="1" t="s">
        <v>8</v>
      </c>
      <c r="J10" s="1">
        <v>175</v>
      </c>
      <c r="K10" s="1"/>
    </row>
    <row r="11" spans="5:11" x14ac:dyDescent="0.25">
      <c r="E11">
        <v>98</v>
      </c>
      <c r="F11">
        <v>77</v>
      </c>
      <c r="I11" s="4" t="s">
        <v>9</v>
      </c>
      <c r="J11" s="4">
        <v>1.1952331771365015</v>
      </c>
      <c r="K11" s="4"/>
    </row>
    <row r="12" spans="5:11" x14ac:dyDescent="0.25">
      <c r="E12">
        <v>73</v>
      </c>
      <c r="F12">
        <v>26</v>
      </c>
      <c r="I12" s="7" t="s">
        <v>10</v>
      </c>
      <c r="J12" s="7">
        <v>0.11680657428698399</v>
      </c>
      <c r="K12" s="7"/>
    </row>
    <row r="13" spans="5:11" x14ac:dyDescent="0.25">
      <c r="E13">
        <v>86</v>
      </c>
      <c r="F13">
        <v>34</v>
      </c>
      <c r="I13" s="5" t="s">
        <v>11</v>
      </c>
      <c r="J13" s="5">
        <v>1.6536074370792557</v>
      </c>
      <c r="K13" s="5"/>
    </row>
    <row r="14" spans="5:11" x14ac:dyDescent="0.25">
      <c r="E14">
        <v>72</v>
      </c>
      <c r="F14">
        <v>19</v>
      </c>
      <c r="I14" s="7" t="s">
        <v>12</v>
      </c>
      <c r="J14" s="7">
        <v>0.23361314857396798</v>
      </c>
      <c r="K14" s="7"/>
    </row>
    <row r="15" spans="5:11" ht="15.75" thickBot="1" x14ac:dyDescent="0.3">
      <c r="E15">
        <v>53</v>
      </c>
      <c r="F15">
        <v>92</v>
      </c>
      <c r="I15" s="6" t="s">
        <v>13</v>
      </c>
      <c r="J15" s="6">
        <v>1.9736124619543807</v>
      </c>
      <c r="K15" s="6"/>
    </row>
    <row r="16" spans="5:11" x14ac:dyDescent="0.25">
      <c r="E16">
        <v>28</v>
      </c>
      <c r="F16">
        <v>26</v>
      </c>
    </row>
    <row r="17" spans="5:6" x14ac:dyDescent="0.25">
      <c r="E17">
        <v>39</v>
      </c>
      <c r="F17">
        <v>33</v>
      </c>
    </row>
    <row r="18" spans="5:6" x14ac:dyDescent="0.25">
      <c r="E18">
        <v>45</v>
      </c>
      <c r="F18">
        <v>23</v>
      </c>
    </row>
    <row r="19" spans="5:6" x14ac:dyDescent="0.25">
      <c r="E19">
        <v>57</v>
      </c>
      <c r="F19">
        <v>2</v>
      </c>
    </row>
    <row r="20" spans="5:6" x14ac:dyDescent="0.25">
      <c r="E20">
        <v>25</v>
      </c>
      <c r="F20">
        <v>53</v>
      </c>
    </row>
    <row r="21" spans="5:6" x14ac:dyDescent="0.25">
      <c r="E21">
        <v>77</v>
      </c>
      <c r="F21">
        <v>74</v>
      </c>
    </row>
    <row r="22" spans="5:6" x14ac:dyDescent="0.25">
      <c r="E22">
        <v>23</v>
      </c>
      <c r="F22">
        <v>69</v>
      </c>
    </row>
    <row r="23" spans="5:6" x14ac:dyDescent="0.25">
      <c r="E23">
        <v>52</v>
      </c>
      <c r="F23">
        <v>12</v>
      </c>
    </row>
    <row r="24" spans="5:6" x14ac:dyDescent="0.25">
      <c r="E24">
        <v>43</v>
      </c>
      <c r="F24">
        <v>74</v>
      </c>
    </row>
    <row r="25" spans="5:6" x14ac:dyDescent="0.25">
      <c r="E25">
        <v>1</v>
      </c>
      <c r="F25">
        <v>37</v>
      </c>
    </row>
    <row r="26" spans="5:6" x14ac:dyDescent="0.25">
      <c r="E26">
        <v>72</v>
      </c>
      <c r="F26">
        <v>99</v>
      </c>
    </row>
    <row r="27" spans="5:6" x14ac:dyDescent="0.25">
      <c r="E27">
        <v>88</v>
      </c>
      <c r="F27">
        <v>99</v>
      </c>
    </row>
    <row r="28" spans="5:6" x14ac:dyDescent="0.25">
      <c r="E28">
        <v>14</v>
      </c>
      <c r="F28">
        <v>98</v>
      </c>
    </row>
    <row r="29" spans="5:6" x14ac:dyDescent="0.25">
      <c r="E29">
        <v>43</v>
      </c>
      <c r="F29">
        <v>57</v>
      </c>
    </row>
    <row r="30" spans="5:6" x14ac:dyDescent="0.25">
      <c r="E30">
        <v>18</v>
      </c>
      <c r="F30">
        <v>55</v>
      </c>
    </row>
    <row r="31" spans="5:6" x14ac:dyDescent="0.25">
      <c r="E31">
        <v>97</v>
      </c>
      <c r="F31">
        <v>45</v>
      </c>
    </row>
    <row r="32" spans="5:6" x14ac:dyDescent="0.25">
      <c r="E32">
        <v>11</v>
      </c>
      <c r="F32">
        <v>85</v>
      </c>
    </row>
    <row r="33" spans="5:6" x14ac:dyDescent="0.25">
      <c r="E33">
        <v>78</v>
      </c>
      <c r="F33">
        <v>14</v>
      </c>
    </row>
    <row r="34" spans="5:6" x14ac:dyDescent="0.25">
      <c r="E34">
        <v>60</v>
      </c>
      <c r="F34">
        <v>18</v>
      </c>
    </row>
    <row r="35" spans="5:6" x14ac:dyDescent="0.25">
      <c r="E35">
        <v>69</v>
      </c>
      <c r="F35">
        <v>78</v>
      </c>
    </row>
    <row r="36" spans="5:6" x14ac:dyDescent="0.25">
      <c r="E36">
        <v>26</v>
      </c>
      <c r="F36">
        <v>83</v>
      </c>
    </row>
    <row r="37" spans="5:6" x14ac:dyDescent="0.25">
      <c r="E37">
        <v>80</v>
      </c>
      <c r="F37">
        <v>68</v>
      </c>
    </row>
    <row r="38" spans="5:6" x14ac:dyDescent="0.25">
      <c r="E38">
        <v>48</v>
      </c>
      <c r="F38">
        <v>43</v>
      </c>
    </row>
    <row r="39" spans="5:6" x14ac:dyDescent="0.25">
      <c r="E39">
        <v>54</v>
      </c>
      <c r="F39">
        <v>48</v>
      </c>
    </row>
    <row r="40" spans="5:6" x14ac:dyDescent="0.25">
      <c r="E40">
        <v>66</v>
      </c>
      <c r="F40">
        <v>58</v>
      </c>
    </row>
    <row r="41" spans="5:6" x14ac:dyDescent="0.25">
      <c r="E41">
        <v>23</v>
      </c>
      <c r="F41">
        <v>56</v>
      </c>
    </row>
    <row r="42" spans="5:6" x14ac:dyDescent="0.25">
      <c r="E42">
        <v>17</v>
      </c>
      <c r="F42">
        <v>13</v>
      </c>
    </row>
    <row r="43" spans="5:6" x14ac:dyDescent="0.25">
      <c r="E43">
        <v>38</v>
      </c>
      <c r="F43">
        <v>10</v>
      </c>
    </row>
    <row r="44" spans="5:6" x14ac:dyDescent="0.25">
      <c r="E44">
        <v>66</v>
      </c>
      <c r="F44">
        <v>86</v>
      </c>
    </row>
    <row r="45" spans="5:6" x14ac:dyDescent="0.25">
      <c r="E45">
        <v>100</v>
      </c>
      <c r="F45">
        <v>46</v>
      </c>
    </row>
    <row r="46" spans="5:6" x14ac:dyDescent="0.25">
      <c r="E46">
        <v>28</v>
      </c>
      <c r="F46">
        <v>94</v>
      </c>
    </row>
    <row r="47" spans="5:6" x14ac:dyDescent="0.25">
      <c r="E47">
        <v>82</v>
      </c>
      <c r="F47">
        <v>16</v>
      </c>
    </row>
    <row r="48" spans="5:6" x14ac:dyDescent="0.25">
      <c r="E48">
        <v>71</v>
      </c>
      <c r="F48">
        <v>29</v>
      </c>
    </row>
    <row r="49" spans="5:6" x14ac:dyDescent="0.25">
      <c r="E49">
        <v>76</v>
      </c>
      <c r="F49">
        <v>51</v>
      </c>
    </row>
    <row r="50" spans="5:6" x14ac:dyDescent="0.25">
      <c r="E50">
        <v>29</v>
      </c>
      <c r="F50">
        <v>33</v>
      </c>
    </row>
    <row r="51" spans="5:6" x14ac:dyDescent="0.25">
      <c r="E51">
        <v>36</v>
      </c>
      <c r="F51">
        <v>19</v>
      </c>
    </row>
    <row r="52" spans="5:6" x14ac:dyDescent="0.25">
      <c r="E52">
        <v>9</v>
      </c>
      <c r="F52">
        <v>17</v>
      </c>
    </row>
    <row r="53" spans="5:6" x14ac:dyDescent="0.25">
      <c r="E53">
        <v>67</v>
      </c>
      <c r="F53">
        <v>61</v>
      </c>
    </row>
    <row r="54" spans="5:6" x14ac:dyDescent="0.25">
      <c r="E54">
        <v>74</v>
      </c>
      <c r="F54">
        <v>64</v>
      </c>
    </row>
    <row r="55" spans="5:6" x14ac:dyDescent="0.25">
      <c r="E55">
        <v>32</v>
      </c>
      <c r="F55">
        <v>38</v>
      </c>
    </row>
    <row r="56" spans="5:6" x14ac:dyDescent="0.25">
      <c r="E56">
        <v>58</v>
      </c>
      <c r="F56">
        <v>27</v>
      </c>
    </row>
    <row r="57" spans="5:6" x14ac:dyDescent="0.25">
      <c r="E57">
        <v>8</v>
      </c>
      <c r="F57">
        <v>13</v>
      </c>
    </row>
    <row r="58" spans="5:6" x14ac:dyDescent="0.25">
      <c r="E58">
        <v>36</v>
      </c>
      <c r="F58">
        <v>87</v>
      </c>
    </row>
    <row r="59" spans="5:6" x14ac:dyDescent="0.25">
      <c r="E59">
        <v>24</v>
      </c>
      <c r="F59">
        <v>76</v>
      </c>
    </row>
    <row r="60" spans="5:6" x14ac:dyDescent="0.25">
      <c r="E60">
        <v>11</v>
      </c>
      <c r="F60">
        <v>30</v>
      </c>
    </row>
    <row r="61" spans="5:6" x14ac:dyDescent="0.25">
      <c r="E61">
        <v>26</v>
      </c>
      <c r="F61">
        <v>10</v>
      </c>
    </row>
    <row r="62" spans="5:6" x14ac:dyDescent="0.25">
      <c r="E62">
        <v>52</v>
      </c>
      <c r="F62">
        <v>59</v>
      </c>
    </row>
    <row r="63" spans="5:6" x14ac:dyDescent="0.25">
      <c r="E63">
        <v>35</v>
      </c>
      <c r="F63">
        <v>41</v>
      </c>
    </row>
    <row r="64" spans="5:6" x14ac:dyDescent="0.25">
      <c r="E64">
        <v>95</v>
      </c>
      <c r="F64">
        <v>83</v>
      </c>
    </row>
    <row r="65" spans="5:6" x14ac:dyDescent="0.25">
      <c r="E65">
        <v>46</v>
      </c>
      <c r="F65">
        <v>37</v>
      </c>
    </row>
    <row r="66" spans="5:6" x14ac:dyDescent="0.25">
      <c r="E66">
        <v>89</v>
      </c>
      <c r="F66">
        <v>37</v>
      </c>
    </row>
    <row r="67" spans="5:6" x14ac:dyDescent="0.25">
      <c r="E67">
        <v>73</v>
      </c>
      <c r="F67">
        <v>83</v>
      </c>
    </row>
    <row r="68" spans="5:6" x14ac:dyDescent="0.25">
      <c r="E68">
        <v>2</v>
      </c>
      <c r="F68">
        <v>4</v>
      </c>
    </row>
    <row r="69" spans="5:6" x14ac:dyDescent="0.25">
      <c r="E69">
        <v>75</v>
      </c>
      <c r="F69">
        <v>58</v>
      </c>
    </row>
    <row r="70" spans="5:6" x14ac:dyDescent="0.25">
      <c r="E70">
        <v>57</v>
      </c>
      <c r="F70">
        <v>97</v>
      </c>
    </row>
    <row r="71" spans="5:6" x14ac:dyDescent="0.25">
      <c r="E71">
        <v>36</v>
      </c>
      <c r="F71">
        <v>1</v>
      </c>
    </row>
    <row r="72" spans="5:6" x14ac:dyDescent="0.25">
      <c r="E72">
        <v>63</v>
      </c>
      <c r="F72">
        <v>2</v>
      </c>
    </row>
    <row r="73" spans="5:6" x14ac:dyDescent="0.25">
      <c r="E73">
        <v>76</v>
      </c>
      <c r="F73">
        <v>41</v>
      </c>
    </row>
    <row r="74" spans="5:6" x14ac:dyDescent="0.25">
      <c r="E74">
        <v>8</v>
      </c>
      <c r="F74">
        <v>4</v>
      </c>
    </row>
    <row r="75" spans="5:6" x14ac:dyDescent="0.25">
      <c r="E75">
        <v>13</v>
      </c>
      <c r="F75">
        <v>56</v>
      </c>
    </row>
    <row r="76" spans="5:6" x14ac:dyDescent="0.25">
      <c r="E76">
        <v>34</v>
      </c>
      <c r="F76">
        <v>94</v>
      </c>
    </row>
    <row r="77" spans="5:6" x14ac:dyDescent="0.25">
      <c r="E77">
        <v>52</v>
      </c>
      <c r="F77">
        <v>84</v>
      </c>
    </row>
    <row r="78" spans="5:6" x14ac:dyDescent="0.25">
      <c r="E78">
        <v>61</v>
      </c>
      <c r="F78">
        <v>38</v>
      </c>
    </row>
    <row r="79" spans="5:6" x14ac:dyDescent="0.25">
      <c r="E79">
        <v>43</v>
      </c>
      <c r="F79">
        <v>41</v>
      </c>
    </row>
    <row r="80" spans="5:6" x14ac:dyDescent="0.25">
      <c r="E80">
        <v>100</v>
      </c>
      <c r="F80">
        <v>37</v>
      </c>
    </row>
    <row r="81" spans="5:6" x14ac:dyDescent="0.25">
      <c r="E81">
        <v>62</v>
      </c>
      <c r="F81">
        <v>44</v>
      </c>
    </row>
    <row r="82" spans="5:6" x14ac:dyDescent="0.25">
      <c r="E82">
        <v>57</v>
      </c>
      <c r="F82">
        <v>87</v>
      </c>
    </row>
    <row r="83" spans="5:6" x14ac:dyDescent="0.25">
      <c r="E83">
        <v>75</v>
      </c>
      <c r="F83">
        <v>55</v>
      </c>
    </row>
    <row r="84" spans="5:6" x14ac:dyDescent="0.25">
      <c r="E84">
        <v>66</v>
      </c>
      <c r="F84">
        <v>31</v>
      </c>
    </row>
    <row r="85" spans="5:6" x14ac:dyDescent="0.25">
      <c r="E85">
        <v>94</v>
      </c>
      <c r="F85">
        <v>51</v>
      </c>
    </row>
    <row r="86" spans="5:6" x14ac:dyDescent="0.25">
      <c r="E86">
        <v>97</v>
      </c>
      <c r="F86">
        <v>21</v>
      </c>
    </row>
    <row r="87" spans="5:6" x14ac:dyDescent="0.25">
      <c r="E87">
        <v>59</v>
      </c>
      <c r="F87">
        <v>36</v>
      </c>
    </row>
    <row r="88" spans="5:6" x14ac:dyDescent="0.25">
      <c r="E88">
        <v>7</v>
      </c>
      <c r="F88">
        <v>62</v>
      </c>
    </row>
    <row r="89" spans="5:6" x14ac:dyDescent="0.25">
      <c r="E89">
        <v>72</v>
      </c>
      <c r="F89">
        <v>2</v>
      </c>
    </row>
    <row r="90" spans="5:6" x14ac:dyDescent="0.25">
      <c r="E90">
        <v>74</v>
      </c>
      <c r="F90">
        <v>37</v>
      </c>
    </row>
    <row r="91" spans="5:6" x14ac:dyDescent="0.25">
      <c r="E91">
        <v>69</v>
      </c>
      <c r="F91">
        <v>9</v>
      </c>
    </row>
  </sheetData>
  <mergeCells count="1">
    <mergeCell ref="I1:J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44299-A00B-4FD0-BDF9-2FE440FD87BB}">
  <dimension ref="B1:I17"/>
  <sheetViews>
    <sheetView workbookViewId="0">
      <selection activeCell="G15" sqref="G15:I15"/>
    </sheetView>
  </sheetViews>
  <sheetFormatPr defaultRowHeight="15" x14ac:dyDescent="0.25"/>
  <cols>
    <col min="2" max="2" width="11.7109375" bestFit="1" customWidth="1"/>
    <col min="3" max="3" width="9.42578125" bestFit="1" customWidth="1"/>
    <col min="4" max="4" width="12.42578125" customWidth="1"/>
    <col min="7" max="7" width="34.140625" bestFit="1" customWidth="1"/>
    <col min="8" max="8" width="12" bestFit="1" customWidth="1"/>
    <col min="9" max="9" width="8.42578125" bestFit="1" customWidth="1"/>
    <col min="10" max="10" width="12" bestFit="1" customWidth="1"/>
    <col min="11" max="11" width="8.42578125" bestFit="1" customWidth="1"/>
    <col min="13" max="13" width="11.7109375" bestFit="1" customWidth="1"/>
    <col min="14" max="14" width="12.28515625" customWidth="1"/>
    <col min="15" max="16" width="9.42578125" customWidth="1"/>
  </cols>
  <sheetData>
    <row r="1" spans="2:9" ht="19.5" thickBot="1" x14ac:dyDescent="0.35">
      <c r="G1" s="12" t="s">
        <v>25</v>
      </c>
      <c r="H1" s="18"/>
      <c r="I1" s="13"/>
    </row>
    <row r="2" spans="2:9" ht="15.75" thickBot="1" x14ac:dyDescent="0.3"/>
    <row r="3" spans="2:9" x14ac:dyDescent="0.25">
      <c r="B3" s="16" t="s">
        <v>16</v>
      </c>
      <c r="C3" s="14" t="s">
        <v>17</v>
      </c>
      <c r="D3" s="15"/>
    </row>
    <row r="4" spans="2:9" ht="15.75" thickBot="1" x14ac:dyDescent="0.3">
      <c r="B4" s="17"/>
      <c r="C4" s="10" t="s">
        <v>18</v>
      </c>
      <c r="D4" s="11" t="s">
        <v>19</v>
      </c>
      <c r="G4" s="3" t="s">
        <v>25</v>
      </c>
      <c r="H4" s="19" t="s">
        <v>31</v>
      </c>
      <c r="I4" s="20">
        <v>0.01</v>
      </c>
    </row>
    <row r="5" spans="2:9" ht="15.75" thickBot="1" x14ac:dyDescent="0.3">
      <c r="B5" s="9" t="s">
        <v>20</v>
      </c>
      <c r="C5" s="9">
        <v>6</v>
      </c>
      <c r="D5" s="9">
        <v>4</v>
      </c>
    </row>
    <row r="6" spans="2:9" x14ac:dyDescent="0.25">
      <c r="B6" s="8" t="s">
        <v>21</v>
      </c>
      <c r="C6" s="8">
        <v>20</v>
      </c>
      <c r="D6" s="8">
        <v>6</v>
      </c>
      <c r="G6" s="2"/>
      <c r="H6" s="2" t="s">
        <v>18</v>
      </c>
      <c r="I6" s="2" t="s">
        <v>19</v>
      </c>
    </row>
    <row r="7" spans="2:9" x14ac:dyDescent="0.25">
      <c r="B7" s="8" t="s">
        <v>22</v>
      </c>
      <c r="C7" s="8">
        <v>3</v>
      </c>
      <c r="D7" s="8">
        <v>2</v>
      </c>
      <c r="G7" s="1" t="s">
        <v>3</v>
      </c>
      <c r="H7" s="1">
        <v>6.6</v>
      </c>
      <c r="I7" s="1">
        <v>2.4</v>
      </c>
    </row>
    <row r="8" spans="2:9" x14ac:dyDescent="0.25">
      <c r="B8" s="8" t="s">
        <v>23</v>
      </c>
      <c r="C8" s="8">
        <v>0</v>
      </c>
      <c r="D8" s="8">
        <v>0</v>
      </c>
      <c r="G8" s="1" t="s">
        <v>4</v>
      </c>
      <c r="H8" s="1">
        <v>60.8</v>
      </c>
      <c r="I8" s="1">
        <v>6.8</v>
      </c>
    </row>
    <row r="9" spans="2:9" x14ac:dyDescent="0.25">
      <c r="B9" s="8" t="s">
        <v>24</v>
      </c>
      <c r="C9" s="8">
        <v>4</v>
      </c>
      <c r="D9" s="8">
        <v>0</v>
      </c>
      <c r="G9" s="1" t="s">
        <v>5</v>
      </c>
      <c r="H9" s="1">
        <v>5</v>
      </c>
      <c r="I9" s="1">
        <v>5</v>
      </c>
    </row>
    <row r="10" spans="2:9" x14ac:dyDescent="0.25">
      <c r="G10" s="1" t="s">
        <v>26</v>
      </c>
      <c r="H10" s="1">
        <v>0.87049648212212605</v>
      </c>
      <c r="I10" s="1"/>
    </row>
    <row r="11" spans="2:9" x14ac:dyDescent="0.25">
      <c r="G11" s="1" t="s">
        <v>7</v>
      </c>
      <c r="H11" s="1">
        <v>0</v>
      </c>
      <c r="I11" s="1"/>
    </row>
    <row r="12" spans="2:9" x14ac:dyDescent="0.25">
      <c r="G12" s="1" t="s">
        <v>8</v>
      </c>
      <c r="H12" s="1">
        <v>4</v>
      </c>
      <c r="I12" s="1"/>
    </row>
    <row r="13" spans="2:9" x14ac:dyDescent="0.25">
      <c r="G13" s="4" t="s">
        <v>9</v>
      </c>
      <c r="H13" s="4">
        <v>1.6550318531021115</v>
      </c>
      <c r="I13" s="4"/>
    </row>
    <row r="14" spans="2:9" x14ac:dyDescent="0.25">
      <c r="G14" s="7" t="s">
        <v>10</v>
      </c>
      <c r="H14" s="7">
        <v>8.6630157649266751E-2</v>
      </c>
      <c r="I14" s="7"/>
    </row>
    <row r="15" spans="2:9" x14ac:dyDescent="0.25">
      <c r="G15" s="5" t="s">
        <v>11</v>
      </c>
      <c r="H15" s="5">
        <v>3.7469473879791968</v>
      </c>
      <c r="I15" s="5"/>
    </row>
    <row r="16" spans="2:9" x14ac:dyDescent="0.25">
      <c r="G16" s="7" t="s">
        <v>12</v>
      </c>
      <c r="H16" s="7">
        <v>0.1732603152985335</v>
      </c>
      <c r="I16" s="7"/>
    </row>
    <row r="17" spans="7:9" ht="15.75" thickBot="1" x14ac:dyDescent="0.3">
      <c r="G17" s="6" t="s">
        <v>13</v>
      </c>
      <c r="H17" s="6">
        <v>4.604094871349993</v>
      </c>
      <c r="I17" s="6"/>
    </row>
  </sheetData>
  <mergeCells count="3">
    <mergeCell ref="C3:D3"/>
    <mergeCell ref="B3:B4"/>
    <mergeCell ref="G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C9CDD-9456-4433-84B0-A980BF52F4F6}">
  <dimension ref="D1:L92"/>
  <sheetViews>
    <sheetView workbookViewId="0">
      <selection activeCell="I1" sqref="I1:K1"/>
    </sheetView>
  </sheetViews>
  <sheetFormatPr defaultRowHeight="15" x14ac:dyDescent="0.25"/>
  <cols>
    <col min="9" max="9" width="30.5703125" bestFit="1" customWidth="1"/>
    <col min="10" max="11" width="12" bestFit="1" customWidth="1"/>
    <col min="12" max="12" width="10.85546875" style="24" customWidth="1"/>
  </cols>
  <sheetData>
    <row r="1" spans="4:12" ht="19.5" thickBot="1" x14ac:dyDescent="0.35">
      <c r="I1" s="12" t="s">
        <v>27</v>
      </c>
      <c r="J1" s="18"/>
      <c r="K1" s="13"/>
    </row>
    <row r="4" spans="4:12" x14ac:dyDescent="0.25">
      <c r="D4">
        <v>93</v>
      </c>
      <c r="E4">
        <v>88</v>
      </c>
    </row>
    <row r="5" spans="4:12" x14ac:dyDescent="0.25">
      <c r="D5">
        <v>12</v>
      </c>
      <c r="E5">
        <v>74</v>
      </c>
    </row>
    <row r="6" spans="4:12" x14ac:dyDescent="0.25">
      <c r="D6">
        <v>37</v>
      </c>
      <c r="E6">
        <v>4</v>
      </c>
      <c r="I6" s="3" t="s">
        <v>27</v>
      </c>
      <c r="J6" s="19"/>
      <c r="K6" s="20"/>
    </row>
    <row r="7" spans="4:12" ht="15.75" thickBot="1" x14ac:dyDescent="0.3">
      <c r="D7">
        <v>46</v>
      </c>
      <c r="E7">
        <v>38</v>
      </c>
    </row>
    <row r="8" spans="4:12" x14ac:dyDescent="0.25">
      <c r="D8">
        <v>54</v>
      </c>
      <c r="E8">
        <v>45</v>
      </c>
      <c r="I8" s="2"/>
      <c r="J8" s="2" t="s">
        <v>1</v>
      </c>
      <c r="K8" s="2" t="s">
        <v>2</v>
      </c>
    </row>
    <row r="9" spans="4:12" x14ac:dyDescent="0.25">
      <c r="D9">
        <v>35</v>
      </c>
      <c r="E9">
        <v>79</v>
      </c>
      <c r="I9" s="1" t="s">
        <v>3</v>
      </c>
      <c r="J9" s="1">
        <v>52.101123595505619</v>
      </c>
      <c r="K9" s="1">
        <v>47.123595505617978</v>
      </c>
    </row>
    <row r="10" spans="4:12" x14ac:dyDescent="0.25">
      <c r="D10">
        <v>32</v>
      </c>
      <c r="E10">
        <v>52</v>
      </c>
      <c r="I10" s="1" t="s">
        <v>4</v>
      </c>
      <c r="J10" s="1">
        <v>726.95556690500496</v>
      </c>
      <c r="K10" s="1">
        <v>816.56409601634334</v>
      </c>
    </row>
    <row r="11" spans="4:12" x14ac:dyDescent="0.25">
      <c r="D11">
        <v>79</v>
      </c>
      <c r="E11">
        <v>7</v>
      </c>
      <c r="I11" s="1" t="s">
        <v>5</v>
      </c>
      <c r="J11" s="1">
        <v>89</v>
      </c>
      <c r="K11" s="1">
        <v>89</v>
      </c>
    </row>
    <row r="12" spans="4:12" x14ac:dyDescent="0.25">
      <c r="D12">
        <v>98</v>
      </c>
      <c r="E12">
        <v>77</v>
      </c>
      <c r="I12" s="1" t="s">
        <v>8</v>
      </c>
      <c r="J12" s="1">
        <v>88</v>
      </c>
      <c r="K12" s="1">
        <v>88</v>
      </c>
    </row>
    <row r="13" spans="4:12" x14ac:dyDescent="0.25">
      <c r="D13">
        <v>73</v>
      </c>
      <c r="E13">
        <v>26</v>
      </c>
      <c r="I13" s="4" t="s">
        <v>28</v>
      </c>
      <c r="J13" s="4">
        <v>0.8902614876792907</v>
      </c>
      <c r="K13" s="4"/>
    </row>
    <row r="14" spans="4:12" x14ac:dyDescent="0.25">
      <c r="D14">
        <v>86</v>
      </c>
      <c r="E14">
        <v>34</v>
      </c>
      <c r="I14" s="7" t="s">
        <v>29</v>
      </c>
      <c r="J14" s="7">
        <v>0.29338762695656784</v>
      </c>
      <c r="K14" s="22">
        <f>P_one_tail*2</f>
        <v>0.58677525391313567</v>
      </c>
      <c r="L14" s="23" t="s">
        <v>32</v>
      </c>
    </row>
    <row r="15" spans="4:12" x14ac:dyDescent="0.25">
      <c r="D15">
        <v>72</v>
      </c>
      <c r="E15">
        <v>19</v>
      </c>
      <c r="I15" s="5" t="s">
        <v>30</v>
      </c>
      <c r="J15" s="5">
        <v>0.70286820365520331</v>
      </c>
      <c r="K15" s="5"/>
    </row>
    <row r="16" spans="4:12" x14ac:dyDescent="0.25">
      <c r="D16">
        <v>53</v>
      </c>
      <c r="E16">
        <v>92</v>
      </c>
    </row>
    <row r="17" spans="4:5" x14ac:dyDescent="0.25">
      <c r="D17">
        <v>28</v>
      </c>
      <c r="E17">
        <v>26</v>
      </c>
    </row>
    <row r="18" spans="4:5" x14ac:dyDescent="0.25">
      <c r="D18">
        <v>39</v>
      </c>
      <c r="E18">
        <v>33</v>
      </c>
    </row>
    <row r="19" spans="4:5" x14ac:dyDescent="0.25">
      <c r="D19">
        <v>45</v>
      </c>
      <c r="E19">
        <v>23</v>
      </c>
    </row>
    <row r="20" spans="4:5" x14ac:dyDescent="0.25">
      <c r="D20">
        <v>57</v>
      </c>
      <c r="E20">
        <v>2</v>
      </c>
    </row>
    <row r="21" spans="4:5" x14ac:dyDescent="0.25">
      <c r="D21">
        <v>25</v>
      </c>
      <c r="E21">
        <v>53</v>
      </c>
    </row>
    <row r="22" spans="4:5" x14ac:dyDescent="0.25">
      <c r="D22">
        <v>77</v>
      </c>
      <c r="E22">
        <v>74</v>
      </c>
    </row>
    <row r="23" spans="4:5" x14ac:dyDescent="0.25">
      <c r="D23">
        <v>23</v>
      </c>
      <c r="E23">
        <v>69</v>
      </c>
    </row>
    <row r="24" spans="4:5" x14ac:dyDescent="0.25">
      <c r="D24">
        <v>52</v>
      </c>
      <c r="E24">
        <v>12</v>
      </c>
    </row>
    <row r="25" spans="4:5" x14ac:dyDescent="0.25">
      <c r="D25">
        <v>43</v>
      </c>
      <c r="E25">
        <v>74</v>
      </c>
    </row>
    <row r="26" spans="4:5" x14ac:dyDescent="0.25">
      <c r="D26">
        <v>1</v>
      </c>
      <c r="E26">
        <v>37</v>
      </c>
    </row>
    <row r="27" spans="4:5" x14ac:dyDescent="0.25">
      <c r="D27">
        <v>72</v>
      </c>
      <c r="E27">
        <v>99</v>
      </c>
    </row>
    <row r="28" spans="4:5" x14ac:dyDescent="0.25">
      <c r="D28">
        <v>88</v>
      </c>
      <c r="E28">
        <v>99</v>
      </c>
    </row>
    <row r="29" spans="4:5" x14ac:dyDescent="0.25">
      <c r="D29">
        <v>14</v>
      </c>
      <c r="E29">
        <v>98</v>
      </c>
    </row>
    <row r="30" spans="4:5" x14ac:dyDescent="0.25">
      <c r="D30">
        <v>43</v>
      </c>
      <c r="E30">
        <v>57</v>
      </c>
    </row>
    <row r="31" spans="4:5" x14ac:dyDescent="0.25">
      <c r="D31">
        <v>18</v>
      </c>
      <c r="E31">
        <v>55</v>
      </c>
    </row>
    <row r="32" spans="4:5" x14ac:dyDescent="0.25">
      <c r="D32">
        <v>97</v>
      </c>
      <c r="E32">
        <v>45</v>
      </c>
    </row>
    <row r="33" spans="4:5" x14ac:dyDescent="0.25">
      <c r="D33">
        <v>11</v>
      </c>
      <c r="E33">
        <v>85</v>
      </c>
    </row>
    <row r="34" spans="4:5" x14ac:dyDescent="0.25">
      <c r="D34">
        <v>78</v>
      </c>
      <c r="E34">
        <v>14</v>
      </c>
    </row>
    <row r="35" spans="4:5" x14ac:dyDescent="0.25">
      <c r="D35">
        <v>60</v>
      </c>
      <c r="E35">
        <v>18</v>
      </c>
    </row>
    <row r="36" spans="4:5" x14ac:dyDescent="0.25">
      <c r="D36">
        <v>69</v>
      </c>
      <c r="E36">
        <v>78</v>
      </c>
    </row>
    <row r="37" spans="4:5" x14ac:dyDescent="0.25">
      <c r="D37">
        <v>26</v>
      </c>
      <c r="E37">
        <v>83</v>
      </c>
    </row>
    <row r="38" spans="4:5" x14ac:dyDescent="0.25">
      <c r="D38">
        <v>80</v>
      </c>
      <c r="E38">
        <v>68</v>
      </c>
    </row>
    <row r="39" spans="4:5" x14ac:dyDescent="0.25">
      <c r="D39">
        <v>48</v>
      </c>
      <c r="E39">
        <v>43</v>
      </c>
    </row>
    <row r="40" spans="4:5" x14ac:dyDescent="0.25">
      <c r="D40">
        <v>54</v>
      </c>
      <c r="E40">
        <v>48</v>
      </c>
    </row>
    <row r="41" spans="4:5" x14ac:dyDescent="0.25">
      <c r="D41">
        <v>66</v>
      </c>
      <c r="E41">
        <v>58</v>
      </c>
    </row>
    <row r="42" spans="4:5" x14ac:dyDescent="0.25">
      <c r="D42">
        <v>23</v>
      </c>
      <c r="E42">
        <v>56</v>
      </c>
    </row>
    <row r="43" spans="4:5" x14ac:dyDescent="0.25">
      <c r="D43">
        <v>17</v>
      </c>
      <c r="E43">
        <v>13</v>
      </c>
    </row>
    <row r="44" spans="4:5" x14ac:dyDescent="0.25">
      <c r="D44">
        <v>38</v>
      </c>
      <c r="E44">
        <v>10</v>
      </c>
    </row>
    <row r="45" spans="4:5" x14ac:dyDescent="0.25">
      <c r="D45">
        <v>66</v>
      </c>
      <c r="E45">
        <v>86</v>
      </c>
    </row>
    <row r="46" spans="4:5" x14ac:dyDescent="0.25">
      <c r="D46">
        <v>100</v>
      </c>
      <c r="E46">
        <v>46</v>
      </c>
    </row>
    <row r="47" spans="4:5" x14ac:dyDescent="0.25">
      <c r="D47">
        <v>28</v>
      </c>
      <c r="E47">
        <v>94</v>
      </c>
    </row>
    <row r="48" spans="4:5" x14ac:dyDescent="0.25">
      <c r="D48">
        <v>82</v>
      </c>
      <c r="E48">
        <v>16</v>
      </c>
    </row>
    <row r="49" spans="4:5" x14ac:dyDescent="0.25">
      <c r="D49">
        <v>71</v>
      </c>
      <c r="E49">
        <v>29</v>
      </c>
    </row>
    <row r="50" spans="4:5" x14ac:dyDescent="0.25">
      <c r="D50">
        <v>76</v>
      </c>
      <c r="E50">
        <v>51</v>
      </c>
    </row>
    <row r="51" spans="4:5" x14ac:dyDescent="0.25">
      <c r="D51">
        <v>29</v>
      </c>
      <c r="E51">
        <v>33</v>
      </c>
    </row>
    <row r="52" spans="4:5" x14ac:dyDescent="0.25">
      <c r="D52">
        <v>36</v>
      </c>
      <c r="E52">
        <v>19</v>
      </c>
    </row>
    <row r="53" spans="4:5" x14ac:dyDescent="0.25">
      <c r="D53">
        <v>9</v>
      </c>
      <c r="E53">
        <v>17</v>
      </c>
    </row>
    <row r="54" spans="4:5" x14ac:dyDescent="0.25">
      <c r="D54">
        <v>67</v>
      </c>
      <c r="E54">
        <v>61</v>
      </c>
    </row>
    <row r="55" spans="4:5" x14ac:dyDescent="0.25">
      <c r="D55">
        <v>74</v>
      </c>
      <c r="E55">
        <v>64</v>
      </c>
    </row>
    <row r="56" spans="4:5" x14ac:dyDescent="0.25">
      <c r="D56">
        <v>32</v>
      </c>
      <c r="E56">
        <v>38</v>
      </c>
    </row>
    <row r="57" spans="4:5" x14ac:dyDescent="0.25">
      <c r="D57">
        <v>58</v>
      </c>
      <c r="E57">
        <v>27</v>
      </c>
    </row>
    <row r="58" spans="4:5" x14ac:dyDescent="0.25">
      <c r="D58">
        <v>8</v>
      </c>
      <c r="E58">
        <v>13</v>
      </c>
    </row>
    <row r="59" spans="4:5" x14ac:dyDescent="0.25">
      <c r="D59">
        <v>36</v>
      </c>
      <c r="E59">
        <v>87</v>
      </c>
    </row>
    <row r="60" spans="4:5" x14ac:dyDescent="0.25">
      <c r="D60">
        <v>24</v>
      </c>
      <c r="E60">
        <v>76</v>
      </c>
    </row>
    <row r="61" spans="4:5" x14ac:dyDescent="0.25">
      <c r="D61">
        <v>11</v>
      </c>
      <c r="E61">
        <v>30</v>
      </c>
    </row>
    <row r="62" spans="4:5" x14ac:dyDescent="0.25">
      <c r="D62">
        <v>26</v>
      </c>
      <c r="E62">
        <v>10</v>
      </c>
    </row>
    <row r="63" spans="4:5" x14ac:dyDescent="0.25">
      <c r="D63">
        <v>52</v>
      </c>
      <c r="E63">
        <v>59</v>
      </c>
    </row>
    <row r="64" spans="4:5" x14ac:dyDescent="0.25">
      <c r="D64">
        <v>35</v>
      </c>
      <c r="E64">
        <v>41</v>
      </c>
    </row>
    <row r="65" spans="4:5" x14ac:dyDescent="0.25">
      <c r="D65">
        <v>95</v>
      </c>
      <c r="E65">
        <v>83</v>
      </c>
    </row>
    <row r="66" spans="4:5" x14ac:dyDescent="0.25">
      <c r="D66">
        <v>46</v>
      </c>
      <c r="E66">
        <v>37</v>
      </c>
    </row>
    <row r="67" spans="4:5" x14ac:dyDescent="0.25">
      <c r="D67">
        <v>89</v>
      </c>
      <c r="E67">
        <v>37</v>
      </c>
    </row>
    <row r="68" spans="4:5" x14ac:dyDescent="0.25">
      <c r="D68">
        <v>73</v>
      </c>
      <c r="E68">
        <v>83</v>
      </c>
    </row>
    <row r="69" spans="4:5" x14ac:dyDescent="0.25">
      <c r="D69">
        <v>2</v>
      </c>
      <c r="E69">
        <v>4</v>
      </c>
    </row>
    <row r="70" spans="4:5" x14ac:dyDescent="0.25">
      <c r="D70">
        <v>75</v>
      </c>
      <c r="E70">
        <v>58</v>
      </c>
    </row>
    <row r="71" spans="4:5" x14ac:dyDescent="0.25">
      <c r="D71">
        <v>57</v>
      </c>
      <c r="E71">
        <v>97</v>
      </c>
    </row>
    <row r="72" spans="4:5" x14ac:dyDescent="0.25">
      <c r="D72">
        <v>36</v>
      </c>
      <c r="E72">
        <v>1</v>
      </c>
    </row>
    <row r="73" spans="4:5" x14ac:dyDescent="0.25">
      <c r="D73">
        <v>63</v>
      </c>
      <c r="E73">
        <v>2</v>
      </c>
    </row>
    <row r="74" spans="4:5" x14ac:dyDescent="0.25">
      <c r="D74">
        <v>76</v>
      </c>
      <c r="E74">
        <v>41</v>
      </c>
    </row>
    <row r="75" spans="4:5" x14ac:dyDescent="0.25">
      <c r="D75">
        <v>8</v>
      </c>
      <c r="E75">
        <v>4</v>
      </c>
    </row>
    <row r="76" spans="4:5" x14ac:dyDescent="0.25">
      <c r="D76">
        <v>13</v>
      </c>
      <c r="E76">
        <v>56</v>
      </c>
    </row>
    <row r="77" spans="4:5" x14ac:dyDescent="0.25">
      <c r="D77">
        <v>34</v>
      </c>
      <c r="E77">
        <v>94</v>
      </c>
    </row>
    <row r="78" spans="4:5" x14ac:dyDescent="0.25">
      <c r="D78">
        <v>52</v>
      </c>
      <c r="E78">
        <v>84</v>
      </c>
    </row>
    <row r="79" spans="4:5" x14ac:dyDescent="0.25">
      <c r="D79">
        <v>61</v>
      </c>
      <c r="E79">
        <v>38</v>
      </c>
    </row>
    <row r="80" spans="4:5" x14ac:dyDescent="0.25">
      <c r="D80">
        <v>43</v>
      </c>
      <c r="E80">
        <v>41</v>
      </c>
    </row>
    <row r="81" spans="4:5" x14ac:dyDescent="0.25">
      <c r="D81">
        <v>100</v>
      </c>
      <c r="E81">
        <v>37</v>
      </c>
    </row>
    <row r="82" spans="4:5" x14ac:dyDescent="0.25">
      <c r="D82">
        <v>62</v>
      </c>
      <c r="E82">
        <v>44</v>
      </c>
    </row>
    <row r="83" spans="4:5" x14ac:dyDescent="0.25">
      <c r="D83">
        <v>57</v>
      </c>
      <c r="E83">
        <v>87</v>
      </c>
    </row>
    <row r="84" spans="4:5" x14ac:dyDescent="0.25">
      <c r="D84">
        <v>75</v>
      </c>
      <c r="E84">
        <v>55</v>
      </c>
    </row>
    <row r="85" spans="4:5" x14ac:dyDescent="0.25">
      <c r="D85">
        <v>66</v>
      </c>
      <c r="E85">
        <v>31</v>
      </c>
    </row>
    <row r="86" spans="4:5" x14ac:dyDescent="0.25">
      <c r="D86">
        <v>94</v>
      </c>
      <c r="E86">
        <v>51</v>
      </c>
    </row>
    <row r="87" spans="4:5" x14ac:dyDescent="0.25">
      <c r="D87">
        <v>97</v>
      </c>
      <c r="E87">
        <v>21</v>
      </c>
    </row>
    <row r="88" spans="4:5" x14ac:dyDescent="0.25">
      <c r="D88">
        <v>59</v>
      </c>
      <c r="E88">
        <v>36</v>
      </c>
    </row>
    <row r="89" spans="4:5" x14ac:dyDescent="0.25">
      <c r="D89">
        <v>7</v>
      </c>
      <c r="E89">
        <v>62</v>
      </c>
    </row>
    <row r="90" spans="4:5" x14ac:dyDescent="0.25">
      <c r="D90">
        <v>72</v>
      </c>
      <c r="E90">
        <v>2</v>
      </c>
    </row>
    <row r="91" spans="4:5" x14ac:dyDescent="0.25">
      <c r="D91">
        <v>74</v>
      </c>
      <c r="E91">
        <v>37</v>
      </c>
    </row>
    <row r="92" spans="4:5" x14ac:dyDescent="0.25">
      <c r="D92">
        <v>69</v>
      </c>
      <c r="E92">
        <v>9</v>
      </c>
    </row>
  </sheetData>
  <mergeCells count="1">
    <mergeCell ref="I1:K1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F75E6-0785-4563-8D98-7455C95F32C7}">
  <dimension ref="G1:Q18"/>
  <sheetViews>
    <sheetView tabSelected="1" workbookViewId="0">
      <selection activeCell="R9" sqref="R9"/>
    </sheetView>
  </sheetViews>
  <sheetFormatPr defaultRowHeight="15" x14ac:dyDescent="0.25"/>
  <cols>
    <col min="8" max="8" width="17.7109375" bestFit="1" customWidth="1"/>
    <col min="9" max="9" width="9.5703125" bestFit="1" customWidth="1"/>
    <col min="10" max="10" width="11.42578125" customWidth="1"/>
  </cols>
  <sheetData>
    <row r="1" spans="7:17" ht="19.5" thickBot="1" x14ac:dyDescent="0.35">
      <c r="G1" s="12" t="s">
        <v>39</v>
      </c>
      <c r="H1" s="18"/>
      <c r="I1" s="18"/>
      <c r="J1" s="18"/>
      <c r="K1" s="18"/>
      <c r="L1" s="18"/>
      <c r="M1" s="18"/>
      <c r="N1" s="18"/>
      <c r="O1" s="18"/>
      <c r="P1" s="18"/>
      <c r="Q1" s="13"/>
    </row>
    <row r="3" spans="7:17" x14ac:dyDescent="0.25">
      <c r="H3" s="24" t="s">
        <v>33</v>
      </c>
      <c r="I3" s="25">
        <v>100</v>
      </c>
    </row>
    <row r="4" spans="7:17" x14ac:dyDescent="0.25">
      <c r="H4" t="s">
        <v>35</v>
      </c>
      <c r="I4" s="25">
        <v>25</v>
      </c>
    </row>
    <row r="5" spans="7:17" x14ac:dyDescent="0.25">
      <c r="I5" s="25"/>
    </row>
    <row r="6" spans="7:17" x14ac:dyDescent="0.25">
      <c r="H6" s="24" t="s">
        <v>36</v>
      </c>
      <c r="I6" s="25">
        <f>25/100</f>
        <v>0.25</v>
      </c>
    </row>
    <row r="7" spans="7:17" x14ac:dyDescent="0.25">
      <c r="H7" s="24" t="s">
        <v>37</v>
      </c>
      <c r="I7" s="25">
        <f>1-I6</f>
        <v>0.75</v>
      </c>
      <c r="L7" s="28">
        <f xml:space="preserve"> 0.25 - 1.96 * SQRT(0.25 * 0.75 / 100)</f>
        <v>0.16512951042912502</v>
      </c>
    </row>
    <row r="8" spans="7:17" x14ac:dyDescent="0.25">
      <c r="H8" s="24" t="s">
        <v>38</v>
      </c>
      <c r="I8" s="25">
        <v>100</v>
      </c>
      <c r="L8" s="28">
        <f xml:space="preserve"> 0.25 + 1.96 * SQRT(0.25 * 0.75 / 100)</f>
        <v>0.33487048957087495</v>
      </c>
    </row>
    <row r="9" spans="7:17" ht="15.75" thickBot="1" x14ac:dyDescent="0.3"/>
    <row r="10" spans="7:17" ht="15.75" thickBot="1" x14ac:dyDescent="0.3">
      <c r="H10" s="24" t="s">
        <v>34</v>
      </c>
      <c r="I10" s="26">
        <f>_xlfn.NORM.S.INV(0.975)</f>
        <v>1.9599639845400536</v>
      </c>
      <c r="L10" s="62" t="s">
        <v>56</v>
      </c>
      <c r="M10" s="65" t="str">
        <f>ROUND(L7, 4)&amp; " %"</f>
        <v>0.1651 %</v>
      </c>
      <c r="N10" s="65" t="s">
        <v>57</v>
      </c>
      <c r="O10" s="66" t="str">
        <f>ROUND(L8, 4)&amp;" %"</f>
        <v>0.3349 %</v>
      </c>
    </row>
    <row r="13" spans="7:17" x14ac:dyDescent="0.25">
      <c r="H13" s="24" t="s">
        <v>34</v>
      </c>
      <c r="I13" s="26">
        <f>_xlfn.NORM.S.INV(0.975)</f>
        <v>1.9599639845400536</v>
      </c>
    </row>
    <row r="14" spans="7:17" x14ac:dyDescent="0.25">
      <c r="H14" s="24" t="s">
        <v>40</v>
      </c>
      <c r="I14">
        <v>0.03</v>
      </c>
    </row>
    <row r="15" spans="7:17" x14ac:dyDescent="0.25">
      <c r="H15" s="24" t="s">
        <v>45</v>
      </c>
      <c r="I15">
        <v>0.25</v>
      </c>
    </row>
    <row r="16" spans="7:17" x14ac:dyDescent="0.25">
      <c r="L16" s="21">
        <f xml:space="preserve"> (1.96^2 * 0.25 * 0.75) / 0.03^2</f>
        <v>800.33333333333326</v>
      </c>
    </row>
    <row r="17" spans="10:12" ht="15.75" thickBot="1" x14ac:dyDescent="0.3"/>
    <row r="18" spans="10:12" ht="15.75" thickBot="1" x14ac:dyDescent="0.3">
      <c r="J18" s="62" t="s">
        <v>58</v>
      </c>
      <c r="K18" s="63"/>
      <c r="L18" s="64">
        <f>ROUND(L16, 0)</f>
        <v>800</v>
      </c>
    </row>
  </sheetData>
  <mergeCells count="1">
    <mergeCell ref="G1:Q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D110F-37C0-4980-9401-184A53F81EF7}">
  <dimension ref="I1:R22"/>
  <sheetViews>
    <sheetView workbookViewId="0">
      <selection activeCell="O17" sqref="O17"/>
    </sheetView>
  </sheetViews>
  <sheetFormatPr defaultRowHeight="15" x14ac:dyDescent="0.25"/>
  <cols>
    <col min="8" max="8" width="2" customWidth="1"/>
    <col min="9" max="9" width="26" bestFit="1" customWidth="1"/>
    <col min="13" max="13" width="10.85546875" bestFit="1" customWidth="1"/>
    <col min="14" max="14" width="12.7109375" bestFit="1" customWidth="1"/>
  </cols>
  <sheetData>
    <row r="1" spans="9:14" ht="19.5" thickBot="1" x14ac:dyDescent="0.35">
      <c r="J1" s="12" t="s">
        <v>41</v>
      </c>
      <c r="K1" s="18"/>
      <c r="L1" s="13"/>
    </row>
    <row r="2" spans="9:14" ht="11.25" customHeight="1" x14ac:dyDescent="0.25"/>
    <row r="3" spans="9:14" x14ac:dyDescent="0.25">
      <c r="I3" s="24" t="s">
        <v>43</v>
      </c>
      <c r="J3" s="50" t="s">
        <v>62</v>
      </c>
      <c r="K3" s="49" t="s">
        <v>59</v>
      </c>
    </row>
    <row r="4" spans="9:14" x14ac:dyDescent="0.25">
      <c r="I4" s="24" t="s">
        <v>43</v>
      </c>
      <c r="J4" s="50" t="s">
        <v>61</v>
      </c>
      <c r="K4" s="49" t="s">
        <v>60</v>
      </c>
    </row>
    <row r="5" spans="9:14" x14ac:dyDescent="0.25">
      <c r="I5" s="24" t="s">
        <v>33</v>
      </c>
      <c r="J5" s="25">
        <v>500</v>
      </c>
    </row>
    <row r="6" spans="9:14" x14ac:dyDescent="0.25">
      <c r="I6" s="24" t="s">
        <v>42</v>
      </c>
      <c r="J6" s="25">
        <v>25</v>
      </c>
    </row>
    <row r="7" spans="9:14" x14ac:dyDescent="0.25">
      <c r="I7" s="27" t="s">
        <v>44</v>
      </c>
      <c r="J7" s="25">
        <f>25/500</f>
        <v>0.05</v>
      </c>
    </row>
    <row r="8" spans="9:14" x14ac:dyDescent="0.25">
      <c r="N8" s="21">
        <f>(0.05 - 0.08) / (SQRT(0.08 * 0.92 / 500))</f>
        <v>-2.4726767752342012</v>
      </c>
    </row>
    <row r="9" spans="9:14" x14ac:dyDescent="0.25">
      <c r="I9" s="27" t="s">
        <v>31</v>
      </c>
      <c r="J9" s="25">
        <v>0.05</v>
      </c>
    </row>
    <row r="10" spans="9:14" x14ac:dyDescent="0.25">
      <c r="I10" s="24" t="s">
        <v>34</v>
      </c>
      <c r="J10" s="26">
        <f>_xlfn.NORM.S.INV(0.975)</f>
        <v>1.9599639845400536</v>
      </c>
    </row>
    <row r="12" spans="9:14" x14ac:dyDescent="0.25">
      <c r="I12" s="24" t="s">
        <v>38</v>
      </c>
      <c r="J12">
        <v>500</v>
      </c>
    </row>
    <row r="13" spans="9:14" x14ac:dyDescent="0.25">
      <c r="I13" s="24" t="s">
        <v>36</v>
      </c>
      <c r="J13">
        <v>0.08</v>
      </c>
    </row>
    <row r="14" spans="9:14" x14ac:dyDescent="0.25">
      <c r="I14" s="24" t="s">
        <v>37</v>
      </c>
      <c r="J14">
        <f>1-J13</f>
        <v>0.92</v>
      </c>
    </row>
    <row r="15" spans="9:14" x14ac:dyDescent="0.25">
      <c r="I15" s="24" t="s">
        <v>46</v>
      </c>
      <c r="J15">
        <v>0.05</v>
      </c>
    </row>
    <row r="16" spans="9:14" ht="15.75" thickBot="1" x14ac:dyDescent="0.3"/>
    <row r="17" spans="9:18" ht="15.75" thickBot="1" x14ac:dyDescent="0.3">
      <c r="I17" s="34" t="s">
        <v>47</v>
      </c>
      <c r="J17" s="54"/>
      <c r="K17" s="29"/>
      <c r="L17" s="30" t="s">
        <v>48</v>
      </c>
      <c r="M17" s="36" t="str">
        <f>ROUND(N8, 2)&amp;"   &lt;"</f>
        <v>-2.47   &lt;</v>
      </c>
      <c r="N17" s="38">
        <f>-J10</f>
        <v>-1.9599639845400536</v>
      </c>
      <c r="O17" s="31"/>
      <c r="P17" s="32" t="s">
        <v>49</v>
      </c>
      <c r="Q17" s="33"/>
    </row>
    <row r="18" spans="9:18" x14ac:dyDescent="0.25">
      <c r="I18" s="39" t="s">
        <v>50</v>
      </c>
      <c r="J18" s="55"/>
      <c r="K18" s="29"/>
      <c r="L18" s="30" t="s">
        <v>51</v>
      </c>
      <c r="M18" s="30" t="s">
        <v>54</v>
      </c>
      <c r="N18" s="37" t="s">
        <v>53</v>
      </c>
      <c r="O18" s="37">
        <f>2*0.0068</f>
        <v>1.3599999999999999E-2</v>
      </c>
      <c r="P18" s="37" t="s">
        <v>55</v>
      </c>
      <c r="Q18" s="35" t="s">
        <v>52</v>
      </c>
      <c r="R18" s="46" t="s">
        <v>49</v>
      </c>
    </row>
    <row r="19" spans="9:18" ht="15.75" thickBot="1" x14ac:dyDescent="0.3">
      <c r="I19" s="40"/>
      <c r="J19" s="56"/>
      <c r="K19" s="41"/>
      <c r="L19" s="42" t="s">
        <v>51</v>
      </c>
      <c r="M19" s="41"/>
      <c r="N19" s="41"/>
      <c r="O19" s="43">
        <f>2*_xlfn.NORM.S.DIST(-2.47,TRUE)</f>
        <v>1.3511305214281292E-2</v>
      </c>
      <c r="P19" s="44" t="s">
        <v>55</v>
      </c>
      <c r="Q19" s="45" t="s">
        <v>52</v>
      </c>
      <c r="R19" s="47" t="s">
        <v>49</v>
      </c>
    </row>
    <row r="20" spans="9:18" x14ac:dyDescent="0.25">
      <c r="I20" s="34" t="s">
        <v>63</v>
      </c>
      <c r="J20" s="51" t="s">
        <v>65</v>
      </c>
      <c r="K20" s="51"/>
      <c r="L20" s="51"/>
      <c r="M20" s="61">
        <f>0.05 - 1.96 * SQRT(0.08 * 0.92 / 500)</f>
        <v>2.6220102607454342E-2</v>
      </c>
      <c r="N20" s="37" t="s">
        <v>66</v>
      </c>
      <c r="O20" s="61">
        <f>0.05 + 1.96 * SQRT(0.08 * 0.92 / 500)</f>
        <v>7.377989739254566E-2</v>
      </c>
      <c r="P20" s="29"/>
      <c r="Q20" s="35" t="s">
        <v>64</v>
      </c>
      <c r="R20" s="46" t="s">
        <v>49</v>
      </c>
    </row>
    <row r="21" spans="9:18" x14ac:dyDescent="0.25">
      <c r="I21" s="52"/>
      <c r="J21" s="57"/>
      <c r="K21" s="57"/>
      <c r="L21" s="57"/>
      <c r="M21" s="57"/>
      <c r="N21" s="57"/>
      <c r="O21" s="57"/>
      <c r="P21" s="58"/>
      <c r="Q21" s="48"/>
      <c r="R21" s="53"/>
    </row>
    <row r="22" spans="9:18" ht="15.75" thickBot="1" x14ac:dyDescent="0.3">
      <c r="I22" s="59"/>
      <c r="J22" s="41"/>
      <c r="K22" s="41"/>
      <c r="L22" s="41"/>
      <c r="M22" s="41"/>
      <c r="N22" s="41"/>
      <c r="O22" s="41"/>
      <c r="P22" s="41"/>
      <c r="Q22" s="41"/>
      <c r="R22" s="60"/>
    </row>
  </sheetData>
  <mergeCells count="4">
    <mergeCell ref="I18:I19"/>
    <mergeCell ref="J20:L20"/>
    <mergeCell ref="J1:L1"/>
    <mergeCell ref="P17:Q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t-Test  Two-Sam Assum Equal Var</vt:lpstr>
      <vt:lpstr>t-Test Two-Sam not As Equal Var</vt:lpstr>
      <vt:lpstr>The Paired Difference test</vt:lpstr>
      <vt:lpstr>Variance F test</vt:lpstr>
      <vt:lpstr>Population proportions_1</vt:lpstr>
      <vt:lpstr>Population proportions_2</vt:lpstr>
      <vt:lpstr>P_one_tail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2025-08-07T18:59:29Z</dcterms:created>
  <dcterms:modified xsi:type="dcterms:W3CDTF">2025-08-21T19:16:15Z</dcterms:modified>
</cp:coreProperties>
</file>
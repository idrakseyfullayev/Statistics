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Statistics\Season_2\Telim_8\"/>
    </mc:Choice>
  </mc:AlternateContent>
  <xr:revisionPtr revIDLastSave="0" documentId="13_ncr:1_{001A1F07-66D8-4B84-877A-065B4715046B}" xr6:coauthVersionLast="45" xr6:coauthVersionMax="45" xr10:uidLastSave="{00000000-0000-0000-0000-000000000000}"/>
  <bookViews>
    <workbookView xWindow="-120" yWindow="-120" windowWidth="20730" windowHeight="11160" activeTab="2" xr2:uid="{EC7B4374-B057-4EA2-BE8A-8BF37D0DCAF7}"/>
  </bookViews>
  <sheets>
    <sheet name="Binom Distribution 1" sheetId="1" r:id="rId1"/>
    <sheet name="Binom Distribution 2" sheetId="2" r:id="rId2"/>
    <sheet name="Poisson Distribu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3" i="3"/>
  <c r="H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" i="2"/>
  <c r="K5" i="2"/>
  <c r="K9" i="2"/>
  <c r="K13" i="2"/>
  <c r="K17" i="2"/>
  <c r="K21" i="2"/>
  <c r="K22" i="2"/>
  <c r="D5" i="2"/>
  <c r="K6" i="2" s="1"/>
  <c r="J2" i="1"/>
  <c r="K20" i="2" l="1"/>
  <c r="K16" i="2"/>
  <c r="K12" i="2"/>
  <c r="K8" i="2"/>
  <c r="K4" i="2"/>
  <c r="K2" i="2"/>
  <c r="K19" i="2"/>
  <c r="K15" i="2"/>
  <c r="K11" i="2"/>
  <c r="K7" i="2"/>
  <c r="K3" i="2"/>
  <c r="K18" i="2"/>
  <c r="K14" i="2"/>
  <c r="K10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E3" i="1"/>
</calcChain>
</file>

<file path=xl/sharedStrings.xml><?xml version="1.0" encoding="utf-8"?>
<sst xmlns="http://schemas.openxmlformats.org/spreadsheetml/2006/main" count="21" uniqueCount="20">
  <si>
    <t>n =</t>
  </si>
  <si>
    <t>Geçikmə=</t>
  </si>
  <si>
    <t>P=</t>
  </si>
  <si>
    <t>Geçikmə sayı</t>
  </si>
  <si>
    <t>Ehtimalı (p)</t>
  </si>
  <si>
    <t>Çanta Sayı=</t>
  </si>
  <si>
    <t>Çantanın maya dəyəri=</t>
  </si>
  <si>
    <t>Çantanın satış qiyməti=</t>
  </si>
  <si>
    <t>Defekt məhsul ehtimalı=</t>
  </si>
  <si>
    <t>Defekt məhsul  sayı=</t>
  </si>
  <si>
    <t>Defekt sayı</t>
  </si>
  <si>
    <t>Ehtimalı</t>
  </si>
  <si>
    <t>Satış qiyməti</t>
  </si>
  <si>
    <t>Maya dəyəri</t>
  </si>
  <si>
    <t>n</t>
  </si>
  <si>
    <t>P</t>
  </si>
  <si>
    <t>m</t>
  </si>
  <si>
    <t>lyambda</t>
  </si>
  <si>
    <t>Gözlənilən brak sayı=</t>
  </si>
  <si>
    <t>Occurrence(baş vermə sayı)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</si>
</sst>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1" xfId="0" applyFont="1" applyBorder="1"/>
    <xf numFmtId="9" fontId="0" fillId="0" borderId="1" xfId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3" borderId="0" xfId="0" applyFill="1"/>
    <xf numFmtId="1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 Distribution 1'!$J$1</c:f>
              <c:strCache>
                <c:ptCount val="1"/>
                <c:pt idx="0">
                  <c:v>Ehtimalı (p)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 Distribution 1'!$I$2:$I$24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cat>
          <c:val>
            <c:numRef>
              <c:f>'Binom Distribution 1'!$J$2:$J$24</c:f>
              <c:numCache>
                <c:formatCode>0.0%</c:formatCode>
                <c:ptCount val="23"/>
                <c:pt idx="0">
                  <c:v>1.2097514022576954E-2</c:v>
                </c:pt>
                <c:pt idx="1">
                  <c:v>5.9143401888153979E-2</c:v>
                </c:pt>
                <c:pt idx="2">
                  <c:v>0.13800127107235932</c:v>
                </c:pt>
                <c:pt idx="3">
                  <c:v>0.2044463275146064</c:v>
                </c:pt>
                <c:pt idx="4">
                  <c:v>0.21580445682097341</c:v>
                </c:pt>
                <c:pt idx="5">
                  <c:v>0.1726435654567787</c:v>
                </c:pt>
                <c:pt idx="6">
                  <c:v>0.10870150417649035</c:v>
                </c:pt>
                <c:pt idx="7">
                  <c:v>5.5213462438852216E-2</c:v>
                </c:pt>
                <c:pt idx="8">
                  <c:v>2.3005609349521752E-2</c:v>
                </c:pt>
                <c:pt idx="9">
                  <c:v>7.9525563183531992E-3</c:v>
                </c:pt>
                <c:pt idx="10">
                  <c:v>2.2974051586353637E-3</c:v>
                </c:pt>
                <c:pt idx="11">
                  <c:v>5.569467051237259E-4</c:v>
                </c:pt>
                <c:pt idx="12">
                  <c:v>1.134521065992774E-4</c:v>
                </c:pt>
                <c:pt idx="13">
                  <c:v>1.9393522495602942E-5</c:v>
                </c:pt>
                <c:pt idx="14">
                  <c:v>2.7705032136575683E-6</c:v>
                </c:pt>
                <c:pt idx="15">
                  <c:v>3.2835593643348932E-7</c:v>
                </c:pt>
                <c:pt idx="16">
                  <c:v>3.1923493819922628E-8</c:v>
                </c:pt>
                <c:pt idx="17">
                  <c:v>2.5038034368566831E-9</c:v>
                </c:pt>
                <c:pt idx="18">
                  <c:v>1.5455576770720199E-10</c:v>
                </c:pt>
                <c:pt idx="19">
                  <c:v>7.2306791909802158E-12</c:v>
                </c:pt>
                <c:pt idx="20">
                  <c:v>2.410226396993411E-13</c:v>
                </c:pt>
                <c:pt idx="21">
                  <c:v>5.1010082476051058E-15</c:v>
                </c:pt>
                <c:pt idx="22">
                  <c:v>5.152533583439483E-17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0-4A06-A7CC-3A083DECD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944272"/>
        <c:axId val="1205767920"/>
      </c:barChart>
      <c:catAx>
        <c:axId val="130294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767920"/>
        <c:crosses val="autoZero"/>
        <c:auto val="1"/>
        <c:lblAlgn val="ctr"/>
        <c:lblOffset val="100"/>
        <c:noMultiLvlLbl val="0"/>
      </c:catAx>
      <c:valAx>
        <c:axId val="12057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94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8430289497395"/>
          <c:y val="0.17750394944707742"/>
          <c:w val="0.86267272561079122"/>
          <c:h val="0.604782127352564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'Binom Distribution 2'!$K$1</c:f>
              <c:strCache>
                <c:ptCount val="1"/>
                <c:pt idx="0">
                  <c:v>Ehtimalı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 Distribution 2'!$I$2:$I$22</c:f>
              <c:numCache>
                <c:formatCode>General</c:formatCode>
                <c:ptCount val="2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1920</c:v>
                </c:pt>
                <c:pt idx="17">
                  <c:v>2040</c:v>
                </c:pt>
                <c:pt idx="18">
                  <c:v>2160</c:v>
                </c:pt>
                <c:pt idx="19">
                  <c:v>2280</c:v>
                </c:pt>
                <c:pt idx="20">
                  <c:v>2400</c:v>
                </c:pt>
              </c:numCache>
            </c:numRef>
          </c:cat>
          <c:val>
            <c:numRef>
              <c:f>'Binom Distribution 2'!$K$2:$K$22</c:f>
              <c:numCache>
                <c:formatCode>0%</c:formatCode>
                <c:ptCount val="21"/>
                <c:pt idx="0">
                  <c:v>0.12157665459056925</c:v>
                </c:pt>
                <c:pt idx="1">
                  <c:v>0.27017034353459846</c:v>
                </c:pt>
                <c:pt idx="2">
                  <c:v>0.28517980706429835</c:v>
                </c:pt>
                <c:pt idx="3">
                  <c:v>0.19011987137619887</c:v>
                </c:pt>
                <c:pt idx="4">
                  <c:v>8.9778828149871717E-2</c:v>
                </c:pt>
                <c:pt idx="5">
                  <c:v>3.1921361119954368E-2</c:v>
                </c:pt>
                <c:pt idx="6">
                  <c:v>8.867044755542881E-3</c:v>
                </c:pt>
                <c:pt idx="7">
                  <c:v>1.9704543901206402E-3</c:v>
                </c:pt>
                <c:pt idx="8">
                  <c:v>3.5577648710511571E-4</c:v>
                </c:pt>
                <c:pt idx="9">
                  <c:v>5.2707627719276334E-5</c:v>
                </c:pt>
                <c:pt idx="10">
                  <c:v>6.442043387911556E-6</c:v>
                </c:pt>
                <c:pt idx="11">
                  <c:v>6.5071145332439828E-7</c:v>
                </c:pt>
                <c:pt idx="12">
                  <c:v>5.4225954443699969E-8</c:v>
                </c:pt>
                <c:pt idx="13">
                  <c:v>3.7077575688000076E-9</c:v>
                </c:pt>
                <c:pt idx="14">
                  <c:v>2.0598653159999975E-10</c:v>
                </c:pt>
                <c:pt idx="15">
                  <c:v>9.1549569599999907E-12</c:v>
                </c:pt>
                <c:pt idx="16">
                  <c:v>3.1788045000000092E-13</c:v>
                </c:pt>
                <c:pt idx="17">
                  <c:v>8.3106000000000242E-15</c:v>
                </c:pt>
                <c:pt idx="18">
                  <c:v>1.5390000000000012E-16</c:v>
                </c:pt>
                <c:pt idx="19">
                  <c:v>1.7999999999999935E-18</c:v>
                </c:pt>
                <c:pt idx="20">
                  <c:v>1.0000000000000063E-20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2-4F54-BABD-E638DE35B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330608"/>
        <c:axId val="1205761680"/>
      </c:barChart>
      <c:catAx>
        <c:axId val="133733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761680"/>
        <c:crosses val="autoZero"/>
        <c:auto val="1"/>
        <c:lblAlgn val="ctr"/>
        <c:lblOffset val="100"/>
        <c:noMultiLvlLbl val="0"/>
      </c:catAx>
      <c:valAx>
        <c:axId val="12057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33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15523722212649E-2"/>
          <c:y val="0.19781333333333334"/>
          <c:w val="0.89661881376255792"/>
          <c:h val="0.63579590551181098"/>
        </c:manualLayout>
      </c:layout>
      <c:scatterChart>
        <c:scatterStyle val="lineMarker"/>
        <c:varyColors val="0"/>
        <c:ser>
          <c:idx val="0"/>
          <c:order val="0"/>
          <c:tx>
            <c:strRef>
              <c:f>'Binom Distribution 2'!$K$1</c:f>
              <c:strCache>
                <c:ptCount val="1"/>
                <c:pt idx="0">
                  <c:v>Ehtimalı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'Binom Distribution 2'!$J$2:$J$22</c:f>
              <c:numCache>
                <c:formatCode>General</c:formatCode>
                <c:ptCount val="21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1080</c:v>
                </c:pt>
                <c:pt idx="7">
                  <c:v>1260</c:v>
                </c:pt>
                <c:pt idx="8">
                  <c:v>1440</c:v>
                </c:pt>
                <c:pt idx="9">
                  <c:v>1620</c:v>
                </c:pt>
                <c:pt idx="10">
                  <c:v>1800</c:v>
                </c:pt>
                <c:pt idx="11">
                  <c:v>1980</c:v>
                </c:pt>
                <c:pt idx="12">
                  <c:v>2160</c:v>
                </c:pt>
                <c:pt idx="13">
                  <c:v>2340</c:v>
                </c:pt>
                <c:pt idx="14">
                  <c:v>2520</c:v>
                </c:pt>
                <c:pt idx="15">
                  <c:v>2700</c:v>
                </c:pt>
                <c:pt idx="16">
                  <c:v>2880</c:v>
                </c:pt>
                <c:pt idx="17">
                  <c:v>3060</c:v>
                </c:pt>
                <c:pt idx="18">
                  <c:v>3240</c:v>
                </c:pt>
                <c:pt idx="19">
                  <c:v>3420</c:v>
                </c:pt>
                <c:pt idx="20">
                  <c:v>3600</c:v>
                </c:pt>
              </c:numCache>
            </c:numRef>
          </c:xVal>
          <c:yVal>
            <c:numRef>
              <c:f>'Binom Distribution 2'!$K$2:$K$22</c:f>
              <c:numCache>
                <c:formatCode>0%</c:formatCode>
                <c:ptCount val="21"/>
                <c:pt idx="0">
                  <c:v>0.12157665459056925</c:v>
                </c:pt>
                <c:pt idx="1">
                  <c:v>0.27017034353459846</c:v>
                </c:pt>
                <c:pt idx="2">
                  <c:v>0.28517980706429835</c:v>
                </c:pt>
                <c:pt idx="3">
                  <c:v>0.19011987137619887</c:v>
                </c:pt>
                <c:pt idx="4">
                  <c:v>8.9778828149871717E-2</c:v>
                </c:pt>
                <c:pt idx="5">
                  <c:v>3.1921361119954368E-2</c:v>
                </c:pt>
                <c:pt idx="6">
                  <c:v>8.867044755542881E-3</c:v>
                </c:pt>
                <c:pt idx="7">
                  <c:v>1.9704543901206402E-3</c:v>
                </c:pt>
                <c:pt idx="8">
                  <c:v>3.5577648710511571E-4</c:v>
                </c:pt>
                <c:pt idx="9">
                  <c:v>5.2707627719276334E-5</c:v>
                </c:pt>
                <c:pt idx="10">
                  <c:v>6.442043387911556E-6</c:v>
                </c:pt>
                <c:pt idx="11">
                  <c:v>6.5071145332439828E-7</c:v>
                </c:pt>
                <c:pt idx="12">
                  <c:v>5.4225954443699969E-8</c:v>
                </c:pt>
                <c:pt idx="13">
                  <c:v>3.7077575688000076E-9</c:v>
                </c:pt>
                <c:pt idx="14">
                  <c:v>2.0598653159999975E-10</c:v>
                </c:pt>
                <c:pt idx="15">
                  <c:v>9.1549569599999907E-12</c:v>
                </c:pt>
                <c:pt idx="16">
                  <c:v>3.1788045000000092E-13</c:v>
                </c:pt>
                <c:pt idx="17">
                  <c:v>8.3106000000000242E-15</c:v>
                </c:pt>
                <c:pt idx="18">
                  <c:v>1.5390000000000012E-16</c:v>
                </c:pt>
                <c:pt idx="19">
                  <c:v>1.7999999999999935E-18</c:v>
                </c:pt>
                <c:pt idx="20">
                  <c:v>1.0000000000000063E-20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49-4A10-A83D-3BC5407C5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691536"/>
        <c:axId val="1205720912"/>
      </c:scatterChart>
      <c:valAx>
        <c:axId val="130369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720912"/>
        <c:crosses val="autoZero"/>
        <c:crossBetween val="midCat"/>
        <c:majorUnit val="120"/>
        <c:minorUnit val="120"/>
      </c:valAx>
      <c:valAx>
        <c:axId val="120572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69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 Distribution 2'!$K$1</c:f>
              <c:strCache>
                <c:ptCount val="1"/>
                <c:pt idx="0">
                  <c:v>Ehtimalı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 Distribution 2'!$H$2:$H$22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'Binom Distribution 2'!$K$2:$K$22</c:f>
              <c:numCache>
                <c:formatCode>0%</c:formatCode>
                <c:ptCount val="21"/>
                <c:pt idx="0">
                  <c:v>0.12157665459056925</c:v>
                </c:pt>
                <c:pt idx="1">
                  <c:v>0.27017034353459846</c:v>
                </c:pt>
                <c:pt idx="2">
                  <c:v>0.28517980706429835</c:v>
                </c:pt>
                <c:pt idx="3">
                  <c:v>0.19011987137619887</c:v>
                </c:pt>
                <c:pt idx="4">
                  <c:v>8.9778828149871717E-2</c:v>
                </c:pt>
                <c:pt idx="5">
                  <c:v>3.1921361119954368E-2</c:v>
                </c:pt>
                <c:pt idx="6">
                  <c:v>8.867044755542881E-3</c:v>
                </c:pt>
                <c:pt idx="7">
                  <c:v>1.9704543901206402E-3</c:v>
                </c:pt>
                <c:pt idx="8">
                  <c:v>3.5577648710511571E-4</c:v>
                </c:pt>
                <c:pt idx="9">
                  <c:v>5.2707627719276334E-5</c:v>
                </c:pt>
                <c:pt idx="10">
                  <c:v>6.442043387911556E-6</c:v>
                </c:pt>
                <c:pt idx="11">
                  <c:v>6.5071145332439828E-7</c:v>
                </c:pt>
                <c:pt idx="12">
                  <c:v>5.4225954443699969E-8</c:v>
                </c:pt>
                <c:pt idx="13">
                  <c:v>3.7077575688000076E-9</c:v>
                </c:pt>
                <c:pt idx="14">
                  <c:v>2.0598653159999975E-10</c:v>
                </c:pt>
                <c:pt idx="15">
                  <c:v>9.1549569599999907E-12</c:v>
                </c:pt>
                <c:pt idx="16">
                  <c:v>3.1788045000000092E-13</c:v>
                </c:pt>
                <c:pt idx="17">
                  <c:v>8.3106000000000242E-15</c:v>
                </c:pt>
                <c:pt idx="18">
                  <c:v>1.5390000000000012E-16</c:v>
                </c:pt>
                <c:pt idx="19">
                  <c:v>1.7999999999999935E-18</c:v>
                </c:pt>
                <c:pt idx="20">
                  <c:v>1.0000000000000063E-20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A-4083-B8E3-6BCC7529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133040"/>
        <c:axId val="1199911968"/>
      </c:barChart>
      <c:catAx>
        <c:axId val="133713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11968"/>
        <c:crosses val="autoZero"/>
        <c:auto val="1"/>
        <c:lblAlgn val="ctr"/>
        <c:lblOffset val="100"/>
        <c:noMultiLvlLbl val="0"/>
      </c:catAx>
      <c:valAx>
        <c:axId val="119991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13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63191889597309"/>
          <c:y val="0.22131938454689631"/>
          <c:w val="0.85117921570585919"/>
          <c:h val="0.692940838225610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'Poisson Distribution'!$H$1</c:f>
              <c:strCache>
                <c:ptCount val="1"/>
                <c:pt idx="0">
                  <c:v>Ehtimalı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elete val="1"/>
          </c:dLbls>
          <c:cat>
            <c:numRef>
              <c:f>'Poisson Distribution'!$G$2:$G$22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'Poisson Distribution'!$H$2:$H$22</c:f>
              <c:numCache>
                <c:formatCode>0.00%</c:formatCode>
                <c:ptCount val="21"/>
                <c:pt idx="0">
                  <c:v>4.9787068367863944E-2</c:v>
                </c:pt>
                <c:pt idx="1">
                  <c:v>0.14936120510359185</c:v>
                </c:pt>
                <c:pt idx="2">
                  <c:v>0.22404180765538775</c:v>
                </c:pt>
                <c:pt idx="3">
                  <c:v>0.22404180765538778</c:v>
                </c:pt>
                <c:pt idx="4">
                  <c:v>0.16803135574154085</c:v>
                </c:pt>
                <c:pt idx="5">
                  <c:v>0.10081881344492449</c:v>
                </c:pt>
                <c:pt idx="6">
                  <c:v>5.0409406722462261E-2</c:v>
                </c:pt>
                <c:pt idx="7">
                  <c:v>2.1604031452483807E-2</c:v>
                </c:pt>
                <c:pt idx="8">
                  <c:v>8.1015117946814375E-3</c:v>
                </c:pt>
                <c:pt idx="9">
                  <c:v>2.7005039315604771E-3</c:v>
                </c:pt>
                <c:pt idx="10">
                  <c:v>8.1015117946814244E-4</c:v>
                </c:pt>
                <c:pt idx="11">
                  <c:v>2.2095032167312987E-4</c:v>
                </c:pt>
                <c:pt idx="12">
                  <c:v>5.5237580418282596E-5</c:v>
                </c:pt>
                <c:pt idx="13">
                  <c:v>1.2747133942680586E-5</c:v>
                </c:pt>
                <c:pt idx="14">
                  <c:v>2.7315287020029766E-6</c:v>
                </c:pt>
                <c:pt idx="15">
                  <c:v>5.4630574040059675E-7</c:v>
                </c:pt>
                <c:pt idx="16">
                  <c:v>1.0243232632511179E-7</c:v>
                </c:pt>
                <c:pt idx="17">
                  <c:v>1.8076292880902042E-8</c:v>
                </c:pt>
                <c:pt idx="18">
                  <c:v>3.0127154801503488E-9</c:v>
                </c:pt>
                <c:pt idx="19">
                  <c:v>4.7569191791847703E-10</c:v>
                </c:pt>
                <c:pt idx="20">
                  <c:v>7.1353787687771353E-11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F-4B59-8C68-833BDD5B83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48726544"/>
        <c:axId val="1408620128"/>
      </c:barChart>
      <c:catAx>
        <c:axId val="134872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20128"/>
        <c:crosses val="autoZero"/>
        <c:auto val="1"/>
        <c:lblAlgn val="ctr"/>
        <c:lblOffset val="100"/>
        <c:noMultiLvlLbl val="0"/>
      </c:catAx>
      <c:valAx>
        <c:axId val="14086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72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1</xdr:row>
      <xdr:rowOff>133350</xdr:rowOff>
    </xdr:from>
    <xdr:to>
      <xdr:col>18</xdr:col>
      <xdr:colOff>381000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719866-38D6-4232-8638-D85121638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0</xdr:row>
      <xdr:rowOff>0</xdr:rowOff>
    </xdr:from>
    <xdr:to>
      <xdr:col>18</xdr:col>
      <xdr:colOff>495300</xdr:colOff>
      <xdr:row>10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D3E1EB-6A0B-4400-A697-BEC12FCC4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66675</xdr:colOff>
      <xdr:row>10</xdr:row>
      <xdr:rowOff>123824</xdr:rowOff>
    </xdr:from>
    <xdr:to>
      <xdr:col>18</xdr:col>
      <xdr:colOff>257176</xdr:colOff>
      <xdr:row>21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075D03-7C54-43F5-A629-F1800D187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7</xdr:row>
      <xdr:rowOff>171450</xdr:rowOff>
    </xdr:from>
    <xdr:to>
      <xdr:col>6</xdr:col>
      <xdr:colOff>0</xdr:colOff>
      <xdr:row>18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07BBFE-FB7D-44C2-9B6F-EC163E2C7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1</xdr:rowOff>
    </xdr:from>
    <xdr:to>
      <xdr:col>16</xdr:col>
      <xdr:colOff>247650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D63B6C-8174-4D22-8F38-EA16CA37B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F60E-10F1-47BB-ADC4-D3653E933BCB}">
  <dimension ref="D1:S24"/>
  <sheetViews>
    <sheetView workbookViewId="0">
      <selection activeCell="J1" sqref="J1"/>
    </sheetView>
  </sheetViews>
  <sheetFormatPr defaultRowHeight="15" x14ac:dyDescent="0.25"/>
  <cols>
    <col min="4" max="4" width="9.5703125" bestFit="1" customWidth="1"/>
    <col min="9" max="9" width="12.28515625" bestFit="1" customWidth="1"/>
    <col min="10" max="10" width="11.140625" bestFit="1" customWidth="1"/>
  </cols>
  <sheetData>
    <row r="1" spans="4:19" x14ac:dyDescent="0.25">
      <c r="D1" s="6" t="s">
        <v>0</v>
      </c>
      <c r="E1" s="7">
        <v>22</v>
      </c>
      <c r="I1" s="5" t="s">
        <v>3</v>
      </c>
      <c r="J1" s="5" t="s">
        <v>4</v>
      </c>
    </row>
    <row r="2" spans="4:19" x14ac:dyDescent="0.25">
      <c r="D2" s="6" t="s">
        <v>1</v>
      </c>
      <c r="E2" s="7">
        <v>4</v>
      </c>
      <c r="I2" s="3">
        <v>0</v>
      </c>
      <c r="J2" s="4">
        <f>_xlfn.BINOM.DIST(I2, $E$1, $E$3,FALSE)</f>
        <v>1.2097514022576954E-2</v>
      </c>
    </row>
    <row r="3" spans="4:19" x14ac:dyDescent="0.25">
      <c r="D3" s="6" t="s">
        <v>2</v>
      </c>
      <c r="E3" s="8">
        <f>E2/E1</f>
        <v>0.18181818181818182</v>
      </c>
      <c r="I3" s="3">
        <v>1</v>
      </c>
      <c r="J3" s="4">
        <f t="shared" ref="J3:J24" si="0">_xlfn.BINOM.DIST(I3, $E$1, $E$3,FALSE)</f>
        <v>5.9143401888153979E-2</v>
      </c>
      <c r="L3" s="9"/>
      <c r="M3" s="9"/>
      <c r="N3" s="9"/>
      <c r="O3" s="9"/>
      <c r="P3" s="9"/>
      <c r="Q3" s="9"/>
      <c r="R3" s="9"/>
      <c r="S3" s="9"/>
    </row>
    <row r="4" spans="4:19" x14ac:dyDescent="0.25">
      <c r="I4" s="3">
        <v>2</v>
      </c>
      <c r="J4" s="4">
        <f t="shared" si="0"/>
        <v>0.13800127107235932</v>
      </c>
      <c r="L4" s="9"/>
      <c r="M4" s="9"/>
      <c r="N4" s="9"/>
      <c r="O4" s="9"/>
      <c r="P4" s="9"/>
      <c r="Q4" s="9"/>
      <c r="R4" s="9"/>
      <c r="S4" s="9"/>
    </row>
    <row r="5" spans="4:19" x14ac:dyDescent="0.25">
      <c r="I5" s="3">
        <v>3</v>
      </c>
      <c r="J5" s="4">
        <f t="shared" si="0"/>
        <v>0.2044463275146064</v>
      </c>
      <c r="L5" s="9"/>
      <c r="M5" s="9"/>
      <c r="N5" s="9"/>
      <c r="O5" s="9"/>
      <c r="P5" s="9"/>
      <c r="Q5" s="9"/>
      <c r="R5" s="9"/>
      <c r="S5" s="9"/>
    </row>
    <row r="6" spans="4:19" x14ac:dyDescent="0.25">
      <c r="I6" s="3">
        <v>4</v>
      </c>
      <c r="J6" s="4">
        <f t="shared" si="0"/>
        <v>0.21580445682097341</v>
      </c>
      <c r="L6" s="9"/>
      <c r="M6" s="9"/>
      <c r="N6" s="9"/>
      <c r="O6" s="9"/>
      <c r="P6" s="9"/>
      <c r="Q6" s="9"/>
      <c r="R6" s="9"/>
      <c r="S6" s="9"/>
    </row>
    <row r="7" spans="4:19" x14ac:dyDescent="0.25">
      <c r="I7" s="3">
        <v>5</v>
      </c>
      <c r="J7" s="4">
        <f t="shared" si="0"/>
        <v>0.1726435654567787</v>
      </c>
      <c r="L7" s="9"/>
      <c r="M7" s="9"/>
      <c r="N7" s="9"/>
      <c r="O7" s="9"/>
      <c r="P7" s="9"/>
      <c r="Q7" s="9"/>
      <c r="R7" s="9"/>
      <c r="S7" s="9"/>
    </row>
    <row r="8" spans="4:19" x14ac:dyDescent="0.25">
      <c r="I8" s="3">
        <v>6</v>
      </c>
      <c r="J8" s="4">
        <f t="shared" si="0"/>
        <v>0.10870150417649035</v>
      </c>
      <c r="L8" s="9"/>
      <c r="M8" s="9"/>
      <c r="N8" s="9"/>
      <c r="O8" s="9"/>
      <c r="P8" s="9"/>
      <c r="Q8" s="9"/>
      <c r="R8" s="9"/>
      <c r="S8" s="9"/>
    </row>
    <row r="9" spans="4:19" x14ac:dyDescent="0.25">
      <c r="I9" s="3">
        <v>7</v>
      </c>
      <c r="J9" s="4">
        <f t="shared" si="0"/>
        <v>5.5213462438852216E-2</v>
      </c>
      <c r="L9" s="9"/>
      <c r="M9" s="9"/>
      <c r="N9" s="9"/>
      <c r="O9" s="9"/>
      <c r="P9" s="9"/>
      <c r="Q9" s="9"/>
      <c r="R9" s="9"/>
      <c r="S9" s="9"/>
    </row>
    <row r="10" spans="4:19" x14ac:dyDescent="0.25">
      <c r="I10" s="3">
        <v>8</v>
      </c>
      <c r="J10" s="4">
        <f t="shared" si="0"/>
        <v>2.3005609349521752E-2</v>
      </c>
      <c r="L10" s="9"/>
      <c r="M10" s="9"/>
      <c r="N10" s="9"/>
      <c r="O10" s="9"/>
      <c r="P10" s="9"/>
      <c r="Q10" s="9"/>
      <c r="R10" s="9"/>
      <c r="S10" s="9"/>
    </row>
    <row r="11" spans="4:19" x14ac:dyDescent="0.25">
      <c r="I11" s="3">
        <v>9</v>
      </c>
      <c r="J11" s="4">
        <f t="shared" si="0"/>
        <v>7.9525563183531992E-3</v>
      </c>
      <c r="L11" s="9"/>
      <c r="M11" s="9"/>
      <c r="N11" s="9"/>
      <c r="O11" s="9"/>
      <c r="P11" s="9"/>
      <c r="Q11" s="9"/>
      <c r="R11" s="9"/>
      <c r="S11" s="9"/>
    </row>
    <row r="12" spans="4:19" x14ac:dyDescent="0.25">
      <c r="I12" s="3">
        <v>10</v>
      </c>
      <c r="J12" s="4">
        <f t="shared" si="0"/>
        <v>2.2974051586353637E-3</v>
      </c>
      <c r="L12" s="9"/>
      <c r="M12" s="9"/>
      <c r="N12" s="9"/>
      <c r="O12" s="9"/>
      <c r="P12" s="9"/>
      <c r="Q12" s="9"/>
      <c r="R12" s="9"/>
      <c r="S12" s="9"/>
    </row>
    <row r="13" spans="4:19" x14ac:dyDescent="0.25">
      <c r="I13" s="3">
        <v>11</v>
      </c>
      <c r="J13" s="4">
        <f t="shared" si="0"/>
        <v>5.569467051237259E-4</v>
      </c>
      <c r="L13" s="9"/>
      <c r="M13" s="9"/>
      <c r="N13" s="9"/>
      <c r="O13" s="9"/>
      <c r="P13" s="9"/>
      <c r="Q13" s="9"/>
      <c r="R13" s="9"/>
      <c r="S13" s="9"/>
    </row>
    <row r="14" spans="4:19" x14ac:dyDescent="0.25">
      <c r="I14" s="3">
        <v>12</v>
      </c>
      <c r="J14" s="4">
        <f t="shared" si="0"/>
        <v>1.134521065992774E-4</v>
      </c>
      <c r="L14" s="9"/>
      <c r="M14" s="9"/>
      <c r="N14" s="9"/>
      <c r="O14" s="9"/>
      <c r="P14" s="9"/>
      <c r="Q14" s="9"/>
      <c r="R14" s="9"/>
      <c r="S14" s="9"/>
    </row>
    <row r="15" spans="4:19" x14ac:dyDescent="0.25">
      <c r="I15" s="3">
        <v>13</v>
      </c>
      <c r="J15" s="4">
        <f t="shared" si="0"/>
        <v>1.9393522495602942E-5</v>
      </c>
      <c r="L15" s="9"/>
      <c r="M15" s="9"/>
      <c r="N15" s="9"/>
      <c r="O15" s="9"/>
      <c r="P15" s="9"/>
      <c r="Q15" s="9"/>
      <c r="R15" s="9"/>
      <c r="S15" s="9"/>
    </row>
    <row r="16" spans="4:19" x14ac:dyDescent="0.25">
      <c r="I16" s="3">
        <v>14</v>
      </c>
      <c r="J16" s="4">
        <f t="shared" si="0"/>
        <v>2.7705032136575683E-6</v>
      </c>
      <c r="L16" s="9"/>
      <c r="M16" s="9"/>
      <c r="N16" s="9"/>
      <c r="O16" s="9"/>
      <c r="P16" s="9"/>
      <c r="Q16" s="9"/>
      <c r="R16" s="9"/>
      <c r="S16" s="9"/>
    </row>
    <row r="17" spans="9:10" x14ac:dyDescent="0.25">
      <c r="I17" s="3">
        <v>15</v>
      </c>
      <c r="J17" s="4">
        <f t="shared" si="0"/>
        <v>3.2835593643348932E-7</v>
      </c>
    </row>
    <row r="18" spans="9:10" x14ac:dyDescent="0.25">
      <c r="I18" s="3">
        <v>16</v>
      </c>
      <c r="J18" s="4">
        <f t="shared" si="0"/>
        <v>3.1923493819922628E-8</v>
      </c>
    </row>
    <row r="19" spans="9:10" x14ac:dyDescent="0.25">
      <c r="I19" s="3">
        <v>17</v>
      </c>
      <c r="J19" s="4">
        <f t="shared" si="0"/>
        <v>2.5038034368566831E-9</v>
      </c>
    </row>
    <row r="20" spans="9:10" x14ac:dyDescent="0.25">
      <c r="I20" s="3">
        <v>18</v>
      </c>
      <c r="J20" s="4">
        <f t="shared" si="0"/>
        <v>1.5455576770720199E-10</v>
      </c>
    </row>
    <row r="21" spans="9:10" x14ac:dyDescent="0.25">
      <c r="I21" s="3">
        <v>19</v>
      </c>
      <c r="J21" s="4">
        <f t="shared" si="0"/>
        <v>7.2306791909802158E-12</v>
      </c>
    </row>
    <row r="22" spans="9:10" x14ac:dyDescent="0.25">
      <c r="I22" s="3">
        <v>20</v>
      </c>
      <c r="J22" s="4">
        <f t="shared" si="0"/>
        <v>2.410226396993411E-13</v>
      </c>
    </row>
    <row r="23" spans="9:10" x14ac:dyDescent="0.25">
      <c r="I23" s="3">
        <v>21</v>
      </c>
      <c r="J23" s="4">
        <f t="shared" si="0"/>
        <v>5.1010082476051058E-15</v>
      </c>
    </row>
    <row r="24" spans="9:10" x14ac:dyDescent="0.25">
      <c r="I24" s="3">
        <v>22</v>
      </c>
      <c r="J24" s="4">
        <f t="shared" si="0"/>
        <v>5.152533583439483E-17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F2AC-BF1F-490A-847A-8B962D5ABA5E}">
  <dimension ref="B1:S22"/>
  <sheetViews>
    <sheetView workbookViewId="0">
      <selection activeCell="K2" sqref="K2"/>
    </sheetView>
  </sheetViews>
  <sheetFormatPr defaultRowHeight="15" x14ac:dyDescent="0.25"/>
  <cols>
    <col min="3" max="3" width="23" bestFit="1" customWidth="1"/>
    <col min="8" max="8" width="10.7109375" bestFit="1" customWidth="1"/>
    <col min="9" max="9" width="11.5703125" bestFit="1" customWidth="1"/>
    <col min="10" max="10" width="12.140625" bestFit="1" customWidth="1"/>
    <col min="12" max="12" width="3.28515625" style="14" customWidth="1"/>
  </cols>
  <sheetData>
    <row r="1" spans="2:19" x14ac:dyDescent="0.25">
      <c r="C1" s="1" t="s">
        <v>5</v>
      </c>
      <c r="D1" s="10">
        <v>20</v>
      </c>
      <c r="E1" s="13" t="s">
        <v>14</v>
      </c>
      <c r="H1" s="5" t="s">
        <v>10</v>
      </c>
      <c r="I1" s="5" t="s">
        <v>13</v>
      </c>
      <c r="J1" s="5" t="s">
        <v>12</v>
      </c>
      <c r="K1" s="5" t="s">
        <v>11</v>
      </c>
      <c r="M1" s="9"/>
      <c r="N1" s="9"/>
      <c r="O1" s="9"/>
      <c r="P1" s="9"/>
      <c r="Q1" s="9"/>
      <c r="R1" s="9"/>
      <c r="S1" s="9"/>
    </row>
    <row r="2" spans="2:19" x14ac:dyDescent="0.25">
      <c r="C2" s="1" t="s">
        <v>6</v>
      </c>
      <c r="D2" s="10">
        <v>120</v>
      </c>
      <c r="E2" s="13"/>
      <c r="G2" s="1" t="s">
        <v>16</v>
      </c>
      <c r="H2" s="3">
        <v>0</v>
      </c>
      <c r="I2" s="3">
        <f>H2*$D$2</f>
        <v>0</v>
      </c>
      <c r="J2" s="3">
        <f>H2*$D$3</f>
        <v>0</v>
      </c>
      <c r="K2" s="12">
        <f>_xlfn.BINOM.DIST(H2, $D$1, $D$5,0)</f>
        <v>0.12157665459056925</v>
      </c>
      <c r="M2" s="9"/>
      <c r="N2" s="9"/>
      <c r="O2" s="9"/>
      <c r="P2" s="9"/>
      <c r="Q2" s="9"/>
      <c r="R2" s="9"/>
      <c r="S2" s="9"/>
    </row>
    <row r="3" spans="2:19" x14ac:dyDescent="0.25">
      <c r="C3" s="1" t="s">
        <v>7</v>
      </c>
      <c r="D3" s="2">
        <v>180</v>
      </c>
      <c r="E3" s="13"/>
      <c r="H3" s="3">
        <v>1</v>
      </c>
      <c r="I3" s="3">
        <f t="shared" ref="I3:I22" si="0">H3*$D$2</f>
        <v>120</v>
      </c>
      <c r="J3" s="3">
        <f t="shared" ref="J3:J22" si="1">H3*$D$3</f>
        <v>180</v>
      </c>
      <c r="K3" s="12">
        <f>_xlfn.BINOM.DIST(H3, $D$1, $D$5,0)</f>
        <v>0.27017034353459846</v>
      </c>
      <c r="M3" s="9"/>
      <c r="N3" s="9"/>
      <c r="O3" s="9"/>
      <c r="P3" s="9"/>
      <c r="Q3" s="9"/>
      <c r="R3" s="9"/>
      <c r="S3" s="9"/>
    </row>
    <row r="4" spans="2:19" x14ac:dyDescent="0.25">
      <c r="C4" s="1" t="s">
        <v>9</v>
      </c>
      <c r="D4" s="2">
        <v>2</v>
      </c>
      <c r="E4" s="13"/>
      <c r="H4" s="3">
        <v>2</v>
      </c>
      <c r="I4" s="3">
        <f t="shared" si="0"/>
        <v>240</v>
      </c>
      <c r="J4" s="3">
        <f t="shared" si="1"/>
        <v>360</v>
      </c>
      <c r="K4" s="12">
        <f>_xlfn.BINOM.DIST(H4, $D$1, $D$5,0)</f>
        <v>0.28517980706429835</v>
      </c>
      <c r="M4" s="9"/>
      <c r="N4" s="9"/>
      <c r="O4" s="9"/>
      <c r="P4" s="9"/>
      <c r="Q4" s="9"/>
      <c r="R4" s="9"/>
      <c r="S4" s="9"/>
    </row>
    <row r="5" spans="2:19" x14ac:dyDescent="0.25">
      <c r="C5" s="1" t="s">
        <v>8</v>
      </c>
      <c r="D5" s="2">
        <f>D4/D1</f>
        <v>0.1</v>
      </c>
      <c r="E5" s="13" t="s">
        <v>15</v>
      </c>
      <c r="H5" s="3">
        <v>3</v>
      </c>
      <c r="I5" s="3">
        <f t="shared" si="0"/>
        <v>360</v>
      </c>
      <c r="J5" s="3">
        <f t="shared" si="1"/>
        <v>540</v>
      </c>
      <c r="K5" s="12">
        <f>_xlfn.BINOM.DIST(H5, $D$1, $D$5,0)</f>
        <v>0.19011987137619887</v>
      </c>
      <c r="M5" s="9"/>
      <c r="N5" s="9"/>
      <c r="O5" s="9"/>
      <c r="P5" s="9"/>
      <c r="Q5" s="9"/>
      <c r="R5" s="9"/>
      <c r="S5" s="9"/>
    </row>
    <row r="6" spans="2:19" x14ac:dyDescent="0.25">
      <c r="H6" s="3">
        <v>4</v>
      </c>
      <c r="I6" s="3">
        <f t="shared" si="0"/>
        <v>480</v>
      </c>
      <c r="J6" s="3">
        <f t="shared" si="1"/>
        <v>720</v>
      </c>
      <c r="K6" s="12">
        <f>_xlfn.BINOM.DIST(H6, $D$1, $D$5,0)</f>
        <v>8.9778828149871717E-2</v>
      </c>
      <c r="M6" s="9"/>
      <c r="N6" s="9"/>
      <c r="O6" s="9"/>
      <c r="P6" s="9"/>
      <c r="Q6" s="9"/>
      <c r="R6" s="9"/>
      <c r="S6" s="9"/>
    </row>
    <row r="7" spans="2:19" x14ac:dyDescent="0.25">
      <c r="H7" s="3">
        <v>5</v>
      </c>
      <c r="I7" s="3">
        <f t="shared" si="0"/>
        <v>600</v>
      </c>
      <c r="J7" s="3">
        <f t="shared" si="1"/>
        <v>900</v>
      </c>
      <c r="K7" s="12">
        <f>_xlfn.BINOM.DIST(H7, $D$1, $D$5,0)</f>
        <v>3.1921361119954368E-2</v>
      </c>
      <c r="M7" s="9"/>
      <c r="N7" s="9"/>
      <c r="O7" s="9"/>
      <c r="P7" s="9"/>
      <c r="Q7" s="9"/>
      <c r="R7" s="9"/>
      <c r="S7" s="9"/>
    </row>
    <row r="8" spans="2:19" x14ac:dyDescent="0.25">
      <c r="H8" s="3">
        <v>6</v>
      </c>
      <c r="I8" s="3">
        <f t="shared" si="0"/>
        <v>720</v>
      </c>
      <c r="J8" s="3">
        <f t="shared" si="1"/>
        <v>1080</v>
      </c>
      <c r="K8" s="12">
        <f>_xlfn.BINOM.DIST(H8, $D$1, $D$5,0)</f>
        <v>8.867044755542881E-3</v>
      </c>
      <c r="M8" s="9"/>
      <c r="N8" s="9"/>
      <c r="O8" s="9"/>
      <c r="P8" s="9"/>
      <c r="Q8" s="9"/>
      <c r="R8" s="9"/>
      <c r="S8" s="9"/>
    </row>
    <row r="9" spans="2:19" x14ac:dyDescent="0.25">
      <c r="B9" s="9"/>
      <c r="C9" s="9"/>
      <c r="D9" s="9"/>
      <c r="E9" s="9"/>
      <c r="F9" s="9"/>
      <c r="H9" s="3">
        <v>7</v>
      </c>
      <c r="I9" s="3">
        <f t="shared" si="0"/>
        <v>840</v>
      </c>
      <c r="J9" s="3">
        <f t="shared" si="1"/>
        <v>1260</v>
      </c>
      <c r="K9" s="12">
        <f>_xlfn.BINOM.DIST(H9, $D$1, $D$5,0)</f>
        <v>1.9704543901206402E-3</v>
      </c>
      <c r="M9" s="9"/>
      <c r="N9" s="9"/>
      <c r="O9" s="9"/>
      <c r="P9" s="9"/>
      <c r="Q9" s="9"/>
      <c r="R9" s="9"/>
      <c r="S9" s="9"/>
    </row>
    <row r="10" spans="2:19" x14ac:dyDescent="0.25">
      <c r="B10" s="9"/>
      <c r="C10" s="9"/>
      <c r="D10" s="9"/>
      <c r="E10" s="9"/>
      <c r="F10" s="9"/>
      <c r="H10" s="3">
        <v>8</v>
      </c>
      <c r="I10" s="3">
        <f t="shared" si="0"/>
        <v>960</v>
      </c>
      <c r="J10" s="3">
        <f t="shared" si="1"/>
        <v>1440</v>
      </c>
      <c r="K10" s="12">
        <f>_xlfn.BINOM.DIST(H10, $D$1, $D$5,0)</f>
        <v>3.5577648710511571E-4</v>
      </c>
      <c r="M10" s="9"/>
      <c r="N10" s="9"/>
      <c r="O10" s="9"/>
      <c r="P10" s="9"/>
      <c r="Q10" s="9"/>
      <c r="R10" s="9"/>
      <c r="S10" s="9"/>
    </row>
    <row r="11" spans="2:19" x14ac:dyDescent="0.25">
      <c r="B11" s="9"/>
      <c r="C11" s="9"/>
      <c r="D11" s="9"/>
      <c r="E11" s="9"/>
      <c r="F11" s="9"/>
      <c r="H11" s="3">
        <v>9</v>
      </c>
      <c r="I11" s="3">
        <f t="shared" si="0"/>
        <v>1080</v>
      </c>
      <c r="J11" s="3">
        <f t="shared" si="1"/>
        <v>1620</v>
      </c>
      <c r="K11" s="12">
        <f>_xlfn.BINOM.DIST(H11, $D$1, $D$5,0)</f>
        <v>5.2707627719276334E-5</v>
      </c>
      <c r="M11" s="14"/>
      <c r="N11" s="14"/>
      <c r="O11" s="14"/>
      <c r="P11" s="14"/>
      <c r="Q11" s="14"/>
      <c r="R11" s="14"/>
      <c r="S11" s="14"/>
    </row>
    <row r="12" spans="2:19" x14ac:dyDescent="0.25">
      <c r="B12" s="9"/>
      <c r="C12" s="9"/>
      <c r="D12" s="9"/>
      <c r="E12" s="9"/>
      <c r="F12" s="9"/>
      <c r="H12" s="3">
        <v>10</v>
      </c>
      <c r="I12" s="3">
        <f t="shared" si="0"/>
        <v>1200</v>
      </c>
      <c r="J12" s="3">
        <f t="shared" si="1"/>
        <v>1800</v>
      </c>
      <c r="K12" s="12">
        <f>_xlfn.BINOM.DIST(H12, $D$1, $D$5,0)</f>
        <v>6.442043387911556E-6</v>
      </c>
      <c r="M12" s="9"/>
      <c r="N12" s="9"/>
      <c r="O12" s="9"/>
      <c r="P12" s="9"/>
      <c r="Q12" s="9"/>
      <c r="R12" s="9"/>
      <c r="S12" s="9"/>
    </row>
    <row r="13" spans="2:19" x14ac:dyDescent="0.25">
      <c r="B13" s="9"/>
      <c r="C13" s="9"/>
      <c r="D13" s="9"/>
      <c r="E13" s="9"/>
      <c r="F13" s="9"/>
      <c r="H13" s="3">
        <v>11</v>
      </c>
      <c r="I13" s="3">
        <f t="shared" si="0"/>
        <v>1320</v>
      </c>
      <c r="J13" s="3">
        <f t="shared" si="1"/>
        <v>1980</v>
      </c>
      <c r="K13" s="12">
        <f>_xlfn.BINOM.DIST(H13, $D$1, $D$5,0)</f>
        <v>6.5071145332439828E-7</v>
      </c>
      <c r="M13" s="9"/>
      <c r="N13" s="9"/>
      <c r="O13" s="9"/>
      <c r="P13" s="9"/>
      <c r="Q13" s="9"/>
      <c r="R13" s="9"/>
      <c r="S13" s="9"/>
    </row>
    <row r="14" spans="2:19" x14ac:dyDescent="0.25">
      <c r="B14" s="9"/>
      <c r="C14" s="9"/>
      <c r="D14" s="9"/>
      <c r="E14" s="9"/>
      <c r="F14" s="9"/>
      <c r="H14" s="3">
        <v>12</v>
      </c>
      <c r="I14" s="3">
        <f t="shared" si="0"/>
        <v>1440</v>
      </c>
      <c r="J14" s="3">
        <f t="shared" si="1"/>
        <v>2160</v>
      </c>
      <c r="K14" s="12">
        <f>_xlfn.BINOM.DIST(H14, $D$1, $D$5,0)</f>
        <v>5.4225954443699969E-8</v>
      </c>
      <c r="M14" s="9"/>
      <c r="N14" s="9"/>
      <c r="O14" s="9"/>
      <c r="P14" s="9"/>
      <c r="Q14" s="9"/>
      <c r="R14" s="9"/>
      <c r="S14" s="9"/>
    </row>
    <row r="15" spans="2:19" x14ac:dyDescent="0.25">
      <c r="B15" s="9"/>
      <c r="C15" s="9"/>
      <c r="D15" s="9"/>
      <c r="E15" s="9"/>
      <c r="F15" s="9"/>
      <c r="H15" s="3">
        <v>13</v>
      </c>
      <c r="I15" s="3">
        <f t="shared" si="0"/>
        <v>1560</v>
      </c>
      <c r="J15" s="3">
        <f t="shared" si="1"/>
        <v>2340</v>
      </c>
      <c r="K15" s="12">
        <f>_xlfn.BINOM.DIST(H15, $D$1, $D$5,0)</f>
        <v>3.7077575688000076E-9</v>
      </c>
      <c r="M15" s="9"/>
      <c r="N15" s="9"/>
      <c r="O15" s="9"/>
      <c r="P15" s="9"/>
      <c r="Q15" s="9"/>
      <c r="R15" s="9"/>
      <c r="S15" s="9"/>
    </row>
    <row r="16" spans="2:19" x14ac:dyDescent="0.25">
      <c r="B16" s="9"/>
      <c r="C16" s="9"/>
      <c r="D16" s="9"/>
      <c r="E16" s="9"/>
      <c r="F16" s="9"/>
      <c r="H16" s="3">
        <v>14</v>
      </c>
      <c r="I16" s="3">
        <f t="shared" si="0"/>
        <v>1680</v>
      </c>
      <c r="J16" s="3">
        <f t="shared" si="1"/>
        <v>2520</v>
      </c>
      <c r="K16" s="12">
        <f>_xlfn.BINOM.DIST(H16, $D$1, $D$5,0)</f>
        <v>2.0598653159999975E-10</v>
      </c>
      <c r="M16" s="9"/>
      <c r="N16" s="9"/>
      <c r="O16" s="9"/>
      <c r="P16" s="9"/>
      <c r="Q16" s="9"/>
      <c r="R16" s="9"/>
      <c r="S16" s="9"/>
    </row>
    <row r="17" spans="2:19" x14ac:dyDescent="0.25">
      <c r="B17" s="9"/>
      <c r="C17" s="9"/>
      <c r="D17" s="9"/>
      <c r="E17" s="9"/>
      <c r="F17" s="9"/>
      <c r="H17" s="3">
        <v>15</v>
      </c>
      <c r="I17" s="3">
        <f t="shared" si="0"/>
        <v>1800</v>
      </c>
      <c r="J17" s="3">
        <f t="shared" si="1"/>
        <v>2700</v>
      </c>
      <c r="K17" s="12">
        <f>_xlfn.BINOM.DIST(H17, $D$1, $D$5,0)</f>
        <v>9.1549569599999907E-12</v>
      </c>
      <c r="M17" s="9"/>
      <c r="N17" s="9"/>
      <c r="O17" s="9"/>
      <c r="P17" s="9"/>
      <c r="Q17" s="9"/>
      <c r="R17" s="9"/>
      <c r="S17" s="9"/>
    </row>
    <row r="18" spans="2:19" x14ac:dyDescent="0.25">
      <c r="B18" s="9"/>
      <c r="C18" s="9"/>
      <c r="D18" s="9"/>
      <c r="E18" s="9"/>
      <c r="F18" s="9"/>
      <c r="H18" s="3">
        <v>16</v>
      </c>
      <c r="I18" s="3">
        <f t="shared" si="0"/>
        <v>1920</v>
      </c>
      <c r="J18" s="3">
        <f t="shared" si="1"/>
        <v>2880</v>
      </c>
      <c r="K18" s="12">
        <f>_xlfn.BINOM.DIST(H18, $D$1, $D$5,0)</f>
        <v>3.1788045000000092E-13</v>
      </c>
      <c r="M18" s="9"/>
      <c r="N18" s="9"/>
      <c r="O18" s="9"/>
      <c r="P18" s="9"/>
      <c r="Q18" s="9"/>
      <c r="R18" s="9"/>
      <c r="S18" s="9"/>
    </row>
    <row r="19" spans="2:19" x14ac:dyDescent="0.25">
      <c r="B19" s="9"/>
      <c r="C19" s="9"/>
      <c r="D19" s="9"/>
      <c r="E19" s="9"/>
      <c r="F19" s="9"/>
      <c r="H19" s="3">
        <v>17</v>
      </c>
      <c r="I19" s="3">
        <f t="shared" si="0"/>
        <v>2040</v>
      </c>
      <c r="J19" s="3">
        <f t="shared" si="1"/>
        <v>3060</v>
      </c>
      <c r="K19" s="12">
        <f>_xlfn.BINOM.DIST(H19, $D$1, $D$5,0)</f>
        <v>8.3106000000000242E-15</v>
      </c>
      <c r="M19" s="9"/>
      <c r="N19" s="9"/>
      <c r="O19" s="9"/>
      <c r="P19" s="9"/>
      <c r="Q19" s="9"/>
      <c r="R19" s="9"/>
      <c r="S19" s="9"/>
    </row>
    <row r="20" spans="2:19" x14ac:dyDescent="0.25">
      <c r="H20" s="3">
        <v>18</v>
      </c>
      <c r="I20" s="3">
        <f t="shared" si="0"/>
        <v>2160</v>
      </c>
      <c r="J20" s="3">
        <f t="shared" si="1"/>
        <v>3240</v>
      </c>
      <c r="K20" s="12">
        <f>_xlfn.BINOM.DIST(H20, $D$1, $D$5,0)</f>
        <v>1.5390000000000012E-16</v>
      </c>
      <c r="M20" s="9"/>
      <c r="N20" s="9"/>
      <c r="O20" s="9"/>
      <c r="P20" s="9"/>
      <c r="Q20" s="9"/>
      <c r="R20" s="9"/>
      <c r="S20" s="9"/>
    </row>
    <row r="21" spans="2:19" x14ac:dyDescent="0.25">
      <c r="H21" s="3">
        <v>19</v>
      </c>
      <c r="I21" s="3">
        <f t="shared" si="0"/>
        <v>2280</v>
      </c>
      <c r="J21" s="3">
        <f t="shared" si="1"/>
        <v>3420</v>
      </c>
      <c r="K21" s="12">
        <f>_xlfn.BINOM.DIST(H21, $D$1, $D$5,0)</f>
        <v>1.7999999999999935E-18</v>
      </c>
      <c r="M21" s="9"/>
      <c r="N21" s="9"/>
      <c r="O21" s="9"/>
      <c r="P21" s="9"/>
      <c r="Q21" s="9"/>
      <c r="R21" s="9"/>
      <c r="S21" s="9"/>
    </row>
    <row r="22" spans="2:19" x14ac:dyDescent="0.25">
      <c r="H22" s="3">
        <v>20</v>
      </c>
      <c r="I22" s="3">
        <f t="shared" si="0"/>
        <v>2400</v>
      </c>
      <c r="J22" s="3">
        <f t="shared" si="1"/>
        <v>3600</v>
      </c>
      <c r="K22" s="12">
        <f>_xlfn.BINOM.DIST(H22, $D$1, $D$5,0)</f>
        <v>1.0000000000000063E-20</v>
      </c>
      <c r="M22" s="9"/>
      <c r="N22" s="9"/>
      <c r="O22" s="9"/>
      <c r="P22" s="9"/>
      <c r="Q22" s="9"/>
      <c r="R22" s="9"/>
      <c r="S22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695E-72C3-447C-A834-252632A73281}">
  <dimension ref="C1:H22"/>
  <sheetViews>
    <sheetView tabSelected="1" workbookViewId="0">
      <selection activeCell="K19" sqref="K19"/>
    </sheetView>
  </sheetViews>
  <sheetFormatPr defaultRowHeight="15" x14ac:dyDescent="0.25"/>
  <cols>
    <col min="3" max="3" width="19.5703125" style="1" bestFit="1" customWidth="1"/>
    <col min="7" max="7" width="25.7109375" bestFit="1" customWidth="1"/>
    <col min="8" max="8" width="8.28515625" bestFit="1" customWidth="1"/>
  </cols>
  <sheetData>
    <row r="1" spans="3:8" x14ac:dyDescent="0.25">
      <c r="C1" s="1" t="s">
        <v>18</v>
      </c>
      <c r="D1" s="10">
        <v>3</v>
      </c>
      <c r="E1" s="13" t="s">
        <v>17</v>
      </c>
      <c r="G1" s="11" t="s">
        <v>19</v>
      </c>
      <c r="H1" s="11" t="s">
        <v>11</v>
      </c>
    </row>
    <row r="2" spans="3:8" x14ac:dyDescent="0.25">
      <c r="G2" s="3">
        <v>0</v>
      </c>
      <c r="H2" s="15">
        <f>_xlfn.POISSON.DIST(G2,$D$1,0)</f>
        <v>4.9787068367863944E-2</v>
      </c>
    </row>
    <row r="3" spans="3:8" x14ac:dyDescent="0.25">
      <c r="G3" s="3">
        <v>1</v>
      </c>
      <c r="H3" s="15">
        <f t="shared" ref="H3:H66" si="0">_xlfn.POISSON.DIST(G3,$D$1,0)</f>
        <v>0.14936120510359185</v>
      </c>
    </row>
    <row r="4" spans="3:8" x14ac:dyDescent="0.25">
      <c r="G4" s="3">
        <v>2</v>
      </c>
      <c r="H4" s="15">
        <f t="shared" si="0"/>
        <v>0.22404180765538775</v>
      </c>
    </row>
    <row r="5" spans="3:8" x14ac:dyDescent="0.25">
      <c r="G5" s="3">
        <v>3</v>
      </c>
      <c r="H5" s="15">
        <f t="shared" si="0"/>
        <v>0.22404180765538778</v>
      </c>
    </row>
    <row r="6" spans="3:8" x14ac:dyDescent="0.25">
      <c r="G6" s="3">
        <v>4</v>
      </c>
      <c r="H6" s="15">
        <f t="shared" si="0"/>
        <v>0.16803135574154085</v>
      </c>
    </row>
    <row r="7" spans="3:8" x14ac:dyDescent="0.25">
      <c r="G7" s="3">
        <v>5</v>
      </c>
      <c r="H7" s="15">
        <f t="shared" si="0"/>
        <v>0.10081881344492449</v>
      </c>
    </row>
    <row r="8" spans="3:8" x14ac:dyDescent="0.25">
      <c r="G8" s="3">
        <v>6</v>
      </c>
      <c r="H8" s="15">
        <f t="shared" si="0"/>
        <v>5.0409406722462261E-2</v>
      </c>
    </row>
    <row r="9" spans="3:8" x14ac:dyDescent="0.25">
      <c r="G9" s="3">
        <v>7</v>
      </c>
      <c r="H9" s="15">
        <f t="shared" si="0"/>
        <v>2.1604031452483807E-2</v>
      </c>
    </row>
    <row r="10" spans="3:8" x14ac:dyDescent="0.25">
      <c r="G10" s="3">
        <v>8</v>
      </c>
      <c r="H10" s="15">
        <f t="shared" si="0"/>
        <v>8.1015117946814375E-3</v>
      </c>
    </row>
    <row r="11" spans="3:8" x14ac:dyDescent="0.25">
      <c r="G11" s="3">
        <v>9</v>
      </c>
      <c r="H11" s="15">
        <f t="shared" si="0"/>
        <v>2.7005039315604771E-3</v>
      </c>
    </row>
    <row r="12" spans="3:8" x14ac:dyDescent="0.25">
      <c r="G12" s="3">
        <v>10</v>
      </c>
      <c r="H12" s="15">
        <f t="shared" si="0"/>
        <v>8.1015117946814244E-4</v>
      </c>
    </row>
    <row r="13" spans="3:8" x14ac:dyDescent="0.25">
      <c r="G13" s="3">
        <v>11</v>
      </c>
      <c r="H13" s="15">
        <f t="shared" si="0"/>
        <v>2.2095032167312987E-4</v>
      </c>
    </row>
    <row r="14" spans="3:8" x14ac:dyDescent="0.25">
      <c r="G14" s="3">
        <v>12</v>
      </c>
      <c r="H14" s="15">
        <f t="shared" si="0"/>
        <v>5.5237580418282596E-5</v>
      </c>
    </row>
    <row r="15" spans="3:8" x14ac:dyDescent="0.25">
      <c r="G15" s="3">
        <v>13</v>
      </c>
      <c r="H15" s="15">
        <f t="shared" si="0"/>
        <v>1.2747133942680586E-5</v>
      </c>
    </row>
    <row r="16" spans="3:8" x14ac:dyDescent="0.25">
      <c r="G16" s="3">
        <v>14</v>
      </c>
      <c r="H16" s="15">
        <f t="shared" si="0"/>
        <v>2.7315287020029766E-6</v>
      </c>
    </row>
    <row r="17" spans="7:8" x14ac:dyDescent="0.25">
      <c r="G17" s="3">
        <v>15</v>
      </c>
      <c r="H17" s="15">
        <f t="shared" si="0"/>
        <v>5.4630574040059675E-7</v>
      </c>
    </row>
    <row r="18" spans="7:8" x14ac:dyDescent="0.25">
      <c r="G18" s="3">
        <v>16</v>
      </c>
      <c r="H18" s="15">
        <f t="shared" si="0"/>
        <v>1.0243232632511179E-7</v>
      </c>
    </row>
    <row r="19" spans="7:8" x14ac:dyDescent="0.25">
      <c r="G19" s="3">
        <v>17</v>
      </c>
      <c r="H19" s="15">
        <f t="shared" si="0"/>
        <v>1.8076292880902042E-8</v>
      </c>
    </row>
    <row r="20" spans="7:8" x14ac:dyDescent="0.25">
      <c r="G20" s="3">
        <v>18</v>
      </c>
      <c r="H20" s="15">
        <f t="shared" si="0"/>
        <v>3.0127154801503488E-9</v>
      </c>
    </row>
    <row r="21" spans="7:8" x14ac:dyDescent="0.25">
      <c r="G21" s="3">
        <v>19</v>
      </c>
      <c r="H21" s="15">
        <f t="shared" si="0"/>
        <v>4.7569191791847703E-10</v>
      </c>
    </row>
    <row r="22" spans="7:8" x14ac:dyDescent="0.25">
      <c r="G22" s="3">
        <v>20</v>
      </c>
      <c r="H22" s="15">
        <f t="shared" si="0"/>
        <v>7.1353787687771353E-11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Binom Distribution 1</vt:lpstr>
      <vt:lpstr>Binom Distribution 2</vt:lpstr>
      <vt:lpstr>Poisson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2025-07-21T08:14:07Z</dcterms:created>
  <dcterms:modified xsi:type="dcterms:W3CDTF">2025-07-22T22:02:01Z</dcterms:modified>
</cp:coreProperties>
</file>
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tatistics_Telim_7\"/>
    </mc:Choice>
  </mc:AlternateContent>
  <xr:revisionPtr revIDLastSave="0" documentId="13_ncr:1_{C52DA1FD-4575-4C17-ABBE-8593FF5ED454}" xr6:coauthVersionLast="45" xr6:coauthVersionMax="45" xr10:uidLastSave="{00000000-0000-0000-0000-000000000000}"/>
  <bookViews>
    <workbookView xWindow="-120" yWindow="-120" windowWidth="20730" windowHeight="11160" xr2:uid="{E61DC4D3-F539-4817-ACFA-C652A75C62B6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Sheet1!$O$3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0" i="1" l="1"/>
  <c r="N20" i="1" s="1"/>
  <c r="P19" i="1"/>
  <c r="N19" i="1" s="1"/>
  <c r="P18" i="1"/>
  <c r="N18" i="1"/>
  <c r="M18" i="1"/>
  <c r="P17" i="1"/>
  <c r="N17" i="1"/>
  <c r="M17" i="1"/>
  <c r="P16" i="1"/>
  <c r="N16" i="1" s="1"/>
  <c r="P15" i="1"/>
  <c r="N15" i="1" s="1"/>
  <c r="P14" i="1"/>
  <c r="N14" i="1"/>
  <c r="M14" i="1"/>
  <c r="P13" i="1"/>
  <c r="N13" i="1"/>
  <c r="M13" i="1"/>
  <c r="P12" i="1"/>
  <c r="N12" i="1" s="1"/>
  <c r="P11" i="1"/>
  <c r="N11" i="1" s="1"/>
  <c r="G7" i="1"/>
  <c r="D13" i="1"/>
  <c r="E12" i="1"/>
  <c r="D12" i="1"/>
  <c r="G4" i="1"/>
  <c r="E11" i="1"/>
  <c r="D11" i="1"/>
  <c r="D4" i="1"/>
  <c r="M16" i="1" l="1"/>
  <c r="M20" i="1"/>
  <c r="M12" i="1"/>
  <c r="M11" i="1"/>
  <c r="M15" i="1"/>
  <c r="M19" i="1"/>
</calcChain>
</file>

<file path=xl/sharedStrings.xml><?xml version="1.0" encoding="utf-8"?>
<sst xmlns="http://schemas.openxmlformats.org/spreadsheetml/2006/main" count="21" uniqueCount="21">
  <si>
    <t>Prob</t>
  </si>
  <si>
    <t>Economic Condition</t>
  </si>
  <si>
    <t>Invesment</t>
  </si>
  <si>
    <t>Passive Fund X</t>
  </si>
  <si>
    <t>Aggressive Fund Y</t>
  </si>
  <si>
    <t>Recession</t>
  </si>
  <si>
    <t>Expanding Ecpnomy</t>
  </si>
  <si>
    <t>Stable Economy</t>
  </si>
  <si>
    <t>W</t>
  </si>
  <si>
    <t>1-W</t>
  </si>
  <si>
    <t>Porfilion Expected yield=</t>
  </si>
  <si>
    <t xml:space="preserve">Pul = </t>
  </si>
  <si>
    <t xml:space="preserve">Mean = </t>
  </si>
  <si>
    <t>Çəki</t>
  </si>
  <si>
    <t>Porfilion Expected Risk=</t>
  </si>
  <si>
    <t>Risk(stdev)=</t>
  </si>
  <si>
    <t>Covariance=</t>
  </si>
  <si>
    <t>Porfilion Expected Risk</t>
  </si>
  <si>
    <t>Porfilion Expected yield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</si>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</sst>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0"/>
    <numFmt numFmtId="165" formatCode="&quot;$&quot;#,##0.00"/>
    <numFmt numFmtId="166" formatCode="&quot;$&quot;#,##0.000"/>
    <numFmt numFmtId="167" formatCode="&quot;$&quot;#,##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right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/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0" fillId="0" borderId="0" xfId="0" applyNumberFormat="1" applyBorder="1"/>
    <xf numFmtId="166" fontId="0" fillId="0" borderId="0" xfId="0" applyNumberFormat="1" applyBorder="1" applyAlignment="1">
      <alignment horizontal="center" vertical="center"/>
    </xf>
    <xf numFmtId="0" fontId="0" fillId="0" borderId="22" xfId="0" applyBorder="1" applyAlignment="1">
      <alignment horizontal="center"/>
    </xf>
    <xf numFmtId="166" fontId="0" fillId="0" borderId="23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166" fontId="0" fillId="0" borderId="0" xfId="0" applyNumberFormat="1" applyBorder="1" applyAlignment="1"/>
    <xf numFmtId="0" fontId="0" fillId="4" borderId="0" xfId="0" applyFill="1"/>
    <xf numFmtId="0" fontId="0" fillId="4" borderId="0" xfId="0" applyFill="1" applyAlignment="1"/>
    <xf numFmtId="166" fontId="0" fillId="4" borderId="0" xfId="0" applyNumberFormat="1" applyFill="1" applyBorder="1" applyAlignment="1"/>
    <xf numFmtId="165" fontId="0" fillId="0" borderId="0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/>
    </xf>
    <xf numFmtId="167" fontId="0" fillId="3" borderId="13" xfId="0" applyNumberFormat="1" applyFill="1" applyBorder="1" applyAlignment="1">
      <alignment horizontal="center"/>
    </xf>
    <xf numFmtId="167" fontId="0" fillId="3" borderId="14" xfId="0" applyNumberFormat="1" applyFill="1" applyBorder="1" applyAlignment="1">
      <alignment horizontal="center"/>
    </xf>
    <xf numFmtId="167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0" fillId="3" borderId="13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61221193504659"/>
          <c:y val="0.16816329613474576"/>
          <c:w val="0.79279344899874671"/>
          <c:h val="0.6567042896727692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Sheet1!$N$10</c:f>
              <c:strCache>
                <c:ptCount val="1"/>
                <c:pt idx="0">
                  <c:v>Porfilion Expected 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Sheet1!$M$11:$M$20</c:f>
              <c:numCache>
                <c:formatCode>"$"#,##0.000</c:formatCode>
                <c:ptCount val="10"/>
                <c:pt idx="0">
                  <c:v>178.60291151042301</c:v>
                </c:pt>
                <c:pt idx="1">
                  <c:v>163.49617732534298</c:v>
                </c:pt>
                <c:pt idx="2">
                  <c:v>148.3947438422264</c:v>
                </c:pt>
                <c:pt idx="3">
                  <c:v>133.30041260251221</c:v>
                </c:pt>
                <c:pt idx="4">
                  <c:v>118.21590417536888</c:v>
                </c:pt>
                <c:pt idx="5">
                  <c:v>103.14552825983296</c:v>
                </c:pt>
                <c:pt idx="6">
                  <c:v>88.096537956948112</c:v>
                </c:pt>
                <c:pt idx="7">
                  <c:v>73.082145562373839</c:v>
                </c:pt>
                <c:pt idx="8">
                  <c:v>58.129166517334475</c:v>
                </c:pt>
                <c:pt idx="9">
                  <c:v>43.301270189221931</c:v>
                </c:pt>
              </c:numCache>
            </c:numRef>
          </c:xVal>
          <c:yVal>
            <c:numRef>
              <c:f>Sheet1!$N$11:$N$20</c:f>
              <c:numCache>
                <c:formatCode>"$"#,##0.00</c:formatCode>
                <c:ptCount val="10"/>
                <c:pt idx="0">
                  <c:v>90.5</c:v>
                </c:pt>
                <c:pt idx="1">
                  <c:v>86</c:v>
                </c:pt>
                <c:pt idx="2">
                  <c:v>81.5</c:v>
                </c:pt>
                <c:pt idx="3">
                  <c:v>77</c:v>
                </c:pt>
                <c:pt idx="4">
                  <c:v>72.5</c:v>
                </c:pt>
                <c:pt idx="5">
                  <c:v>68</c:v>
                </c:pt>
                <c:pt idx="6">
                  <c:v>63.5</c:v>
                </c:pt>
                <c:pt idx="7">
                  <c:v>59</c:v>
                </c:pt>
                <c:pt idx="8">
                  <c:v>54.5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9B-4795-A3CB-5BE8FD180535}"/>
            </c:ext>
          </c:extLst>
        </c:ser>
        <c:ser>
          <c:idx val="1"/>
          <c:order val="1"/>
          <c:tx>
            <c:strRef>
              <c:f>Sheet1!$O$10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Sheet1!$M$11:$M$20</c:f>
              <c:numCache>
                <c:formatCode>"$"#,##0.000</c:formatCode>
                <c:ptCount val="10"/>
                <c:pt idx="0">
                  <c:v>178.60291151042301</c:v>
                </c:pt>
                <c:pt idx="1">
                  <c:v>163.49617732534298</c:v>
                </c:pt>
                <c:pt idx="2">
                  <c:v>148.3947438422264</c:v>
                </c:pt>
                <c:pt idx="3">
                  <c:v>133.30041260251221</c:v>
                </c:pt>
                <c:pt idx="4">
                  <c:v>118.21590417536888</c:v>
                </c:pt>
                <c:pt idx="5">
                  <c:v>103.14552825983296</c:v>
                </c:pt>
                <c:pt idx="6">
                  <c:v>88.096537956948112</c:v>
                </c:pt>
                <c:pt idx="7">
                  <c:v>73.082145562373839</c:v>
                </c:pt>
                <c:pt idx="8">
                  <c:v>58.129166517334475</c:v>
                </c:pt>
                <c:pt idx="9">
                  <c:v>43.301270189221931</c:v>
                </c:pt>
              </c:numCache>
            </c:numRef>
          </c:xVal>
          <c:yVal>
            <c:numRef>
              <c:f>Sheet1!$O$11:$O$20</c:f>
              <c:numCache>
                <c:formatCode>"$"#,##0.00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9B-4795-A3CB-5BE8FD180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347471"/>
        <c:axId val="740196527"/>
      </c:scatterChart>
      <c:valAx>
        <c:axId val="845347471"/>
        <c:scaling>
          <c:orientation val="minMax"/>
        </c:scaling>
        <c:delete val="0"/>
        <c:axPos val="b"/>
        <c:numFmt formatCode="&quot;$&quot;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96527"/>
        <c:crosses val="autoZero"/>
        <c:crossBetween val="midCat"/>
      </c:valAx>
      <c:valAx>
        <c:axId val="740196527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34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152399</xdr:rowOff>
    </xdr:from>
    <xdr:to>
      <xdr:col>12</xdr:col>
      <xdr:colOff>209550</xdr:colOff>
      <xdr:row>4</xdr:row>
      <xdr:rowOff>9898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85C4B4-4B02-4E4A-AD40-30999A9C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00074"/>
          <a:ext cx="1876425" cy="257549"/>
        </a:xfrm>
        <a:prstGeom prst="rect">
          <a:avLst/>
        </a:prstGeom>
      </xdr:spPr>
    </xdr:pic>
    <xdr:clientData/>
  </xdr:twoCellAnchor>
  <xdr:twoCellAnchor editAs="oneCell">
    <xdr:from>
      <xdr:col>9</xdr:col>
      <xdr:colOff>47626</xdr:colOff>
      <xdr:row>5</xdr:row>
      <xdr:rowOff>123825</xdr:rowOff>
    </xdr:from>
    <xdr:to>
      <xdr:col>12</xdr:col>
      <xdr:colOff>742950</xdr:colOff>
      <xdr:row>7</xdr:row>
      <xdr:rowOff>15859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5F915E-F837-41B5-86F3-72EC1A40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6101" y="1238250"/>
          <a:ext cx="2371724" cy="292084"/>
        </a:xfrm>
        <a:prstGeom prst="rect">
          <a:avLst/>
        </a:prstGeom>
      </xdr:spPr>
    </xdr:pic>
    <xdr:clientData/>
  </xdr:twoCellAnchor>
  <xdr:twoCellAnchor editAs="oneCell">
    <xdr:from>
      <xdr:col>4</xdr:col>
      <xdr:colOff>1152526</xdr:colOff>
      <xdr:row>12</xdr:row>
      <xdr:rowOff>0</xdr:rowOff>
    </xdr:from>
    <xdr:to>
      <xdr:col>10</xdr:col>
      <xdr:colOff>228601</xdr:colOff>
      <xdr:row>13</xdr:row>
      <xdr:rowOff>31127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B7D294-7679-49EC-8665-34E11987D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9151" y="2476500"/>
          <a:ext cx="3295650" cy="221627"/>
        </a:xfrm>
        <a:prstGeom prst="rect">
          <a:avLst/>
        </a:prstGeom>
      </xdr:spPr>
    </xdr:pic>
    <xdr:clientData/>
  </xdr:twoCellAnchor>
  <xdr:twoCellAnchor editAs="oneCell">
    <xdr:from>
      <xdr:col>4</xdr:col>
      <xdr:colOff>1152525</xdr:colOff>
      <xdr:row>10</xdr:row>
      <xdr:rowOff>171450</xdr:rowOff>
    </xdr:from>
    <xdr:to>
      <xdr:col>10</xdr:col>
      <xdr:colOff>123233</xdr:colOff>
      <xdr:row>12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42913C-DBD9-4E20-970C-FBF398EC7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91025" y="2266950"/>
          <a:ext cx="3190283" cy="2190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9</xdr:row>
      <xdr:rowOff>123826</xdr:rowOff>
    </xdr:from>
    <xdr:to>
      <xdr:col>7</xdr:col>
      <xdr:colOff>140880</xdr:colOff>
      <xdr:row>10</xdr:row>
      <xdr:rowOff>174632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0E4ED3B-7577-431F-BD5D-5453EB141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9600" y="2028826"/>
          <a:ext cx="1350555" cy="241306"/>
        </a:xfrm>
        <a:prstGeom prst="rect">
          <a:avLst/>
        </a:prstGeom>
      </xdr:spPr>
    </xdr:pic>
    <xdr:clientData/>
  </xdr:twoCellAnchor>
  <xdr:twoCellAnchor>
    <xdr:from>
      <xdr:col>3</xdr:col>
      <xdr:colOff>85726</xdr:colOff>
      <xdr:row>12</xdr:row>
      <xdr:rowOff>152400</xdr:rowOff>
    </xdr:from>
    <xdr:to>
      <xdr:col>10</xdr:col>
      <xdr:colOff>9526</xdr:colOff>
      <xdr:row>21</xdr:row>
      <xdr:rowOff>123826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16254D3-5F93-444B-B59A-36B43B310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B410-8470-426D-9DFE-790B12F11A3B}">
  <dimension ref="A1:P26"/>
  <sheetViews>
    <sheetView tabSelected="1" workbookViewId="0">
      <selection activeCell="O3" sqref="O3"/>
    </sheetView>
  </sheetViews>
  <sheetFormatPr defaultRowHeight="15" x14ac:dyDescent="0.25"/>
  <cols>
    <col min="1" max="1" width="5.85546875" customWidth="1"/>
    <col min="2" max="2" width="6" customWidth="1"/>
    <col min="3" max="3" width="24.7109375" customWidth="1"/>
    <col min="4" max="4" width="15.5703125" customWidth="1"/>
    <col min="5" max="5" width="17.5703125" customWidth="1"/>
    <col min="11" max="11" width="11.28515625" customWidth="1"/>
    <col min="12" max="12" width="4.7109375" customWidth="1"/>
    <col min="13" max="13" width="22.7109375" bestFit="1" customWidth="1"/>
    <col min="15" max="15" width="14.140625" customWidth="1"/>
    <col min="16" max="16" width="6.7109375" customWidth="1"/>
  </cols>
  <sheetData>
    <row r="1" spans="1:16" ht="19.5" thickBot="1" x14ac:dyDescent="0.35">
      <c r="F1" s="19" t="s">
        <v>11</v>
      </c>
      <c r="G1" s="20">
        <v>1000</v>
      </c>
    </row>
    <row r="2" spans="1:16" ht="15.75" thickBot="1" x14ac:dyDescent="0.3">
      <c r="C2" s="39" t="s">
        <v>13</v>
      </c>
      <c r="D2" s="40"/>
    </row>
    <row r="3" spans="1:16" ht="15.75" thickBot="1" x14ac:dyDescent="0.3">
      <c r="C3" s="15" t="s">
        <v>8</v>
      </c>
      <c r="D3" s="16" t="s">
        <v>9</v>
      </c>
      <c r="G3" s="41" t="s">
        <v>10</v>
      </c>
      <c r="H3" s="41"/>
      <c r="I3" s="41"/>
    </row>
    <row r="4" spans="1:16" ht="15.75" thickBot="1" x14ac:dyDescent="0.3">
      <c r="C4" s="17">
        <v>0.5</v>
      </c>
      <c r="D4" s="18">
        <f>1-C4</f>
        <v>0.5</v>
      </c>
      <c r="G4" s="52">
        <f>C4*D11 + D4*E11</f>
        <v>72.5</v>
      </c>
      <c r="H4" s="53"/>
      <c r="I4" s="54"/>
    </row>
    <row r="5" spans="1:16" ht="21" x14ac:dyDescent="0.25">
      <c r="B5" s="48" t="s">
        <v>0</v>
      </c>
      <c r="C5" s="46" t="s">
        <v>1</v>
      </c>
      <c r="D5" s="50" t="s">
        <v>2</v>
      </c>
      <c r="E5" s="51"/>
    </row>
    <row r="6" spans="1:16" ht="15.75" thickBot="1" x14ac:dyDescent="0.3">
      <c r="B6" s="49"/>
      <c r="C6" s="47"/>
      <c r="D6" s="11" t="s">
        <v>3</v>
      </c>
      <c r="E6" s="12" t="s">
        <v>4</v>
      </c>
      <c r="G6" s="41" t="s">
        <v>14</v>
      </c>
      <c r="H6" s="41"/>
      <c r="I6" s="41"/>
    </row>
    <row r="7" spans="1:16" ht="15.75" thickBot="1" x14ac:dyDescent="0.3">
      <c r="B7" s="5">
        <v>0.2</v>
      </c>
      <c r="C7" s="1" t="s">
        <v>5</v>
      </c>
      <c r="D7" s="2">
        <v>-25</v>
      </c>
      <c r="E7" s="6">
        <v>-200</v>
      </c>
      <c r="G7" s="42">
        <f>SQRT(((C4^2)*(D12^2))+((D4^2)*(E12^2))+2*C4*D4*D13)</f>
        <v>118.21590417536888</v>
      </c>
      <c r="H7" s="43"/>
      <c r="I7" s="44"/>
    </row>
    <row r="8" spans="1:16" x14ac:dyDescent="0.25">
      <c r="B8" s="5">
        <v>0.5</v>
      </c>
      <c r="C8" s="1" t="s">
        <v>7</v>
      </c>
      <c r="D8" s="2">
        <v>50</v>
      </c>
      <c r="E8" s="6">
        <v>60</v>
      </c>
    </row>
    <row r="9" spans="1:16" ht="15.75" thickBot="1" x14ac:dyDescent="0.3">
      <c r="B9" s="7">
        <v>0.3</v>
      </c>
      <c r="C9" s="8" t="s">
        <v>6</v>
      </c>
      <c r="D9" s="9">
        <v>100</v>
      </c>
      <c r="E9" s="10">
        <v>350</v>
      </c>
    </row>
    <row r="10" spans="1:16" x14ac:dyDescent="0.25">
      <c r="A10" s="3"/>
      <c r="B10" s="3"/>
      <c r="C10" s="4"/>
      <c r="D10" s="3"/>
      <c r="L10" s="29" t="s">
        <v>19</v>
      </c>
      <c r="M10" s="26" t="s">
        <v>17</v>
      </c>
      <c r="N10" s="38" t="s">
        <v>18</v>
      </c>
      <c r="O10" s="38"/>
      <c r="P10" s="28" t="s">
        <v>20</v>
      </c>
    </row>
    <row r="11" spans="1:16" x14ac:dyDescent="0.25">
      <c r="A11" s="3"/>
      <c r="B11" s="3"/>
      <c r="C11" s="14" t="s">
        <v>12</v>
      </c>
      <c r="D11" s="21">
        <f>D7*B7 +D8*B8 + D9*B9</f>
        <v>50</v>
      </c>
      <c r="E11" s="21">
        <f>E7*B7 +E8*B8 + E9*B9</f>
        <v>95</v>
      </c>
      <c r="L11" s="15">
        <v>0.1</v>
      </c>
      <c r="M11" s="25">
        <f>SQRT(((L11^2)*($D$12^2))+((P11^2)*($E$12^2))+2*L11*P11*$D$13)</f>
        <v>178.60291151042301</v>
      </c>
      <c r="N11" s="36">
        <f>L11*$D$11 + P11*$E$11</f>
        <v>90.5</v>
      </c>
      <c r="O11" s="36"/>
      <c r="P11" s="16">
        <f>1-L11</f>
        <v>0.9</v>
      </c>
    </row>
    <row r="12" spans="1:16" x14ac:dyDescent="0.25">
      <c r="A12" s="3"/>
      <c r="B12" s="3"/>
      <c r="C12" s="14" t="s">
        <v>15</v>
      </c>
      <c r="D12" s="22">
        <f>SQRT(((D7-D11)^2)*B7+((D8-D11)^2)*B8+((D9-D11)^2)*B9)</f>
        <v>43.301270189221931</v>
      </c>
      <c r="E12" s="22">
        <f>SQRT(((E7-E11)^2)*B7+((E8-E11)^2)*B8+((E9-E11)^2)*B9)</f>
        <v>193.71370627810515</v>
      </c>
      <c r="L12" s="15">
        <v>0.2</v>
      </c>
      <c r="M12" s="25">
        <f t="shared" ref="M12:M15" si="0">SQRT(((L12^2)*($D$12^2))+((P12^2)*($E$12^2))+2*L12*P12*$D$13)</f>
        <v>163.49617732534298</v>
      </c>
      <c r="N12" s="36">
        <f t="shared" ref="N12:N20" si="1">L12*$D$11 + P12*$E$11</f>
        <v>86</v>
      </c>
      <c r="O12" s="36"/>
      <c r="P12" s="16">
        <f t="shared" ref="P12:P20" si="2">1-L12</f>
        <v>0.8</v>
      </c>
    </row>
    <row r="13" spans="1:16" x14ac:dyDescent="0.25">
      <c r="A13" s="3"/>
      <c r="B13" s="3"/>
      <c r="C13" s="23" t="s">
        <v>16</v>
      </c>
      <c r="D13" s="45">
        <f>(D7-D11)*(E7-E11)*B7 + (D8-D11)*(E8-E11)*B8 + (D9-D11)*(E9-E11)*B9</f>
        <v>8250</v>
      </c>
      <c r="E13" s="45"/>
      <c r="L13" s="15">
        <v>0.3</v>
      </c>
      <c r="M13" s="25">
        <f t="shared" si="0"/>
        <v>148.3947438422264</v>
      </c>
      <c r="N13" s="36">
        <f t="shared" si="1"/>
        <v>81.5</v>
      </c>
      <c r="O13" s="36"/>
      <c r="P13" s="16">
        <f t="shared" si="2"/>
        <v>0.7</v>
      </c>
    </row>
    <row r="14" spans="1:16" x14ac:dyDescent="0.25">
      <c r="A14" s="3"/>
      <c r="B14" s="3"/>
      <c r="C14" s="3"/>
      <c r="D14" s="3"/>
      <c r="L14" s="15">
        <v>0.4</v>
      </c>
      <c r="M14" s="25">
        <f t="shared" si="0"/>
        <v>133.30041260251221</v>
      </c>
      <c r="N14" s="36">
        <f t="shared" si="1"/>
        <v>77</v>
      </c>
      <c r="O14" s="36"/>
      <c r="P14" s="16">
        <f t="shared" si="2"/>
        <v>0.6</v>
      </c>
    </row>
    <row r="15" spans="1:16" x14ac:dyDescent="0.25">
      <c r="A15" s="3"/>
      <c r="B15" s="3"/>
      <c r="D15" s="33"/>
      <c r="E15" s="33"/>
      <c r="F15" s="33"/>
      <c r="G15" s="33"/>
      <c r="H15" s="33"/>
      <c r="I15" s="33"/>
      <c r="J15" s="33"/>
      <c r="L15" s="15">
        <v>0.5</v>
      </c>
      <c r="M15" s="25">
        <f t="shared" si="0"/>
        <v>118.21590417536888</v>
      </c>
      <c r="N15" s="36">
        <f t="shared" si="1"/>
        <v>72.5</v>
      </c>
      <c r="O15" s="36"/>
      <c r="P15" s="16">
        <f t="shared" si="2"/>
        <v>0.5</v>
      </c>
    </row>
    <row r="16" spans="1:16" x14ac:dyDescent="0.25">
      <c r="A16" s="3"/>
      <c r="B16" s="3"/>
      <c r="C16" s="13"/>
      <c r="D16" s="34"/>
      <c r="E16" s="34"/>
      <c r="F16" s="33"/>
      <c r="G16" s="33"/>
      <c r="H16" s="33"/>
      <c r="I16" s="33"/>
      <c r="J16" s="33"/>
      <c r="L16" s="15">
        <v>0.6</v>
      </c>
      <c r="M16" s="25">
        <f>SQRT(((L16^2)*($D$12^2))+((P16^2)*($E$12^2))+2*L16*P16*$D$13)</f>
        <v>103.14552825983296</v>
      </c>
      <c r="N16" s="36">
        <f t="shared" si="1"/>
        <v>68</v>
      </c>
      <c r="O16" s="36"/>
      <c r="P16" s="16">
        <f t="shared" si="2"/>
        <v>0.4</v>
      </c>
    </row>
    <row r="17" spans="1:16" x14ac:dyDescent="0.25">
      <c r="A17" s="3"/>
      <c r="B17" s="3"/>
      <c r="C17" s="24"/>
      <c r="D17" s="35"/>
      <c r="E17" s="35"/>
      <c r="F17" s="33"/>
      <c r="G17" s="33"/>
      <c r="H17" s="33"/>
      <c r="I17" s="33"/>
      <c r="J17" s="33"/>
      <c r="L17" s="15">
        <v>0.7</v>
      </c>
      <c r="M17" s="25">
        <f t="shared" ref="M17:M20" si="3">SQRT(((L17^2)*($D$12^2))+((P17^2)*($E$12^2))+2*L17*P17*$D$13)</f>
        <v>88.096537956948112</v>
      </c>
      <c r="N17" s="36">
        <f t="shared" si="1"/>
        <v>63.5</v>
      </c>
      <c r="O17" s="36"/>
      <c r="P17" s="16">
        <f t="shared" si="2"/>
        <v>0.30000000000000004</v>
      </c>
    </row>
    <row r="18" spans="1:16" x14ac:dyDescent="0.25">
      <c r="A18" s="3"/>
      <c r="B18" s="3"/>
      <c r="C18" s="24"/>
      <c r="D18" s="35"/>
      <c r="E18" s="35"/>
      <c r="F18" s="33"/>
      <c r="G18" s="33"/>
      <c r="H18" s="33"/>
      <c r="I18" s="33"/>
      <c r="J18" s="33"/>
      <c r="L18" s="15">
        <v>0.8</v>
      </c>
      <c r="M18" s="25">
        <f t="shared" si="3"/>
        <v>73.082145562373839</v>
      </c>
      <c r="N18" s="36">
        <f t="shared" si="1"/>
        <v>59</v>
      </c>
      <c r="O18" s="36"/>
      <c r="P18" s="16">
        <f t="shared" si="2"/>
        <v>0.19999999999999996</v>
      </c>
    </row>
    <row r="19" spans="1:16" x14ac:dyDescent="0.25">
      <c r="A19" s="3"/>
      <c r="B19" s="3"/>
      <c r="C19" s="24"/>
      <c r="D19" s="35"/>
      <c r="E19" s="35"/>
      <c r="F19" s="33"/>
      <c r="G19" s="33"/>
      <c r="H19" s="33"/>
      <c r="I19" s="33"/>
      <c r="J19" s="33"/>
      <c r="L19" s="15">
        <v>0.9</v>
      </c>
      <c r="M19" s="25">
        <f t="shared" si="3"/>
        <v>58.129166517334475</v>
      </c>
      <c r="N19" s="36">
        <f t="shared" si="1"/>
        <v>54.5</v>
      </c>
      <c r="O19" s="36"/>
      <c r="P19" s="16">
        <f t="shared" si="2"/>
        <v>9.9999999999999978E-2</v>
      </c>
    </row>
    <row r="20" spans="1:16" ht="15.75" thickBot="1" x14ac:dyDescent="0.3">
      <c r="B20" s="3"/>
      <c r="C20" s="24"/>
      <c r="D20" s="35"/>
      <c r="E20" s="35"/>
      <c r="F20" s="33"/>
      <c r="G20" s="33"/>
      <c r="H20" s="33"/>
      <c r="I20" s="33"/>
      <c r="J20" s="33"/>
      <c r="L20" s="31">
        <v>1</v>
      </c>
      <c r="M20" s="27">
        <f t="shared" si="3"/>
        <v>43.301270189221931</v>
      </c>
      <c r="N20" s="37">
        <f t="shared" si="1"/>
        <v>50</v>
      </c>
      <c r="O20" s="37"/>
      <c r="P20" s="30">
        <f t="shared" si="2"/>
        <v>0</v>
      </c>
    </row>
    <row r="21" spans="1:16" x14ac:dyDescent="0.25">
      <c r="B21" s="3"/>
      <c r="C21" s="24"/>
      <c r="D21" s="35"/>
      <c r="E21" s="35"/>
      <c r="F21" s="33"/>
      <c r="G21" s="33"/>
      <c r="H21" s="33"/>
      <c r="I21" s="33"/>
      <c r="J21" s="33"/>
    </row>
    <row r="22" spans="1:16" x14ac:dyDescent="0.25">
      <c r="B22" s="3"/>
      <c r="C22" s="24"/>
      <c r="D22" s="32"/>
      <c r="E22" s="32"/>
    </row>
    <row r="23" spans="1:16" x14ac:dyDescent="0.25">
      <c r="B23" s="3"/>
      <c r="C23" s="24"/>
      <c r="D23" s="32"/>
      <c r="E23" s="32"/>
    </row>
    <row r="24" spans="1:16" x14ac:dyDescent="0.25">
      <c r="B24" s="3"/>
      <c r="C24" s="24"/>
      <c r="D24" s="32"/>
      <c r="E24" s="32"/>
    </row>
    <row r="25" spans="1:16" x14ac:dyDescent="0.25">
      <c r="B25" s="3"/>
      <c r="C25" s="24"/>
      <c r="D25" s="32"/>
      <c r="E25" s="32"/>
    </row>
    <row r="26" spans="1:16" x14ac:dyDescent="0.25">
      <c r="B26" s="3"/>
      <c r="C26" s="24"/>
      <c r="D26" s="32"/>
      <c r="E26" s="32"/>
    </row>
  </sheetData>
  <mergeCells count="20">
    <mergeCell ref="B5:B6"/>
    <mergeCell ref="D5:E5"/>
    <mergeCell ref="G3:I3"/>
    <mergeCell ref="G4:I4"/>
    <mergeCell ref="N10:O10"/>
    <mergeCell ref="N11:O11"/>
    <mergeCell ref="N12:O12"/>
    <mergeCell ref="N13:O13"/>
    <mergeCell ref="C2:D2"/>
    <mergeCell ref="G6:I6"/>
    <mergeCell ref="G7:I7"/>
    <mergeCell ref="D13:E13"/>
    <mergeCell ref="C5:C6"/>
    <mergeCell ref="N19:O19"/>
    <mergeCell ref="N20:O20"/>
    <mergeCell ref="N14:O14"/>
    <mergeCell ref="N15:O15"/>
    <mergeCell ref="N16:O16"/>
    <mergeCell ref="N17:O17"/>
    <mergeCell ref="N18:O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2025-07-19T12:29:03Z</dcterms:created>
  <dcterms:modified xsi:type="dcterms:W3CDTF">2025-07-20T02:36:39Z</dcterms:modified>
</cp:coreProperties>
</file>